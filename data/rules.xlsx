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 &amp; Accessibility" sheetId="1" state="visible" r:id="rId1"/>
    <sheet xmlns:r="http://schemas.openxmlformats.org/officeDocument/2006/relationships" name="Fire &amp; Life Safety" sheetId="2" state="visible" r:id="rId2"/>
    <sheet xmlns:r="http://schemas.openxmlformats.org/officeDocument/2006/relationships" name="Egress" sheetId="3" state="visible" r:id="rId3"/>
    <sheet xmlns:r="http://schemas.openxmlformats.org/officeDocument/2006/relationships" name="Automatic Operators" sheetId="4" state="visible" r:id="rId4"/>
    <sheet xmlns:r="http://schemas.openxmlformats.org/officeDocument/2006/relationships" name="Door Hardware" sheetId="5" state="visible" r:id="rId5"/>
    <sheet xmlns:r="http://schemas.openxmlformats.org/officeDocument/2006/relationships" name="MA Specific" sheetId="6" state="visible" r:id="rId6"/>
    <sheet xmlns:r="http://schemas.openxmlformats.org/officeDocument/2006/relationships" name="Aluminum Door Stile Wid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00B0F0"/>
      </patternFill>
    </fill>
    <fill>
      <patternFill patternType="solid">
        <fgColor rgb="00808080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bottom style="medium">
        <color rgb="00000000"/>
      </bottom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2" customWidth="1" min="4" max="4"/>
    <col width="18" customWidth="1" min="5" max="5"/>
    <col width="40" customWidth="1" min="6" max="6"/>
    <col width="30" customWidth="1" min="7" max="7"/>
  </cols>
  <sheetData>
    <row r="1" ht="28" customHeight="1">
      <c r="A1" s="1" t="inlineStr">
        <is>
          <t>Rule ID</t>
        </is>
      </c>
      <c r="B1" s="1" t="inlineStr">
        <is>
          <t>What To Check</t>
        </is>
      </c>
      <c r="C1" s="1" t="inlineStr">
        <is>
          <t>Fail When</t>
        </is>
      </c>
      <c r="D1" s="1" t="inlineStr">
        <is>
          <t>Severity</t>
        </is>
      </c>
      <c r="E1" s="1" t="inlineStr">
        <is>
          <t>Code Ref</t>
        </is>
      </c>
      <c r="F1" s="1" t="inlineStr">
        <is>
          <t>How To Fix</t>
        </is>
      </c>
      <c r="G1" s="1" t="inlineStr">
        <is>
          <t>When To Apply</t>
        </is>
      </c>
    </row>
    <row r="2" ht="24" customHeight="1">
      <c r="A2" s="2" t="inlineStr">
        <is>
          <t>A-101</t>
        </is>
      </c>
      <c r="B2" s="3" t="inlineStr">
        <is>
          <t>Door in Path of Egress</t>
        </is>
      </c>
      <c r="C2" s="3" t="inlineStr">
        <is>
          <t>&lt; 32"</t>
        </is>
      </c>
      <c r="D2" s="3" t="inlineStr">
        <is>
          <t>Critical</t>
        </is>
      </c>
      <c r="E2" s="3" t="inlineStr">
        <is>
          <t>IBC 1010.1.1 / ADA</t>
        </is>
      </c>
      <c r="F2" s="3" t="inlineStr">
        <is>
          <t>Increase door leaf size or revise configuration to achieve minimum 32" clear.</t>
        </is>
      </c>
      <c r="G2" s="3" t="inlineStr">
        <is>
          <t>ada_required=true</t>
        </is>
      </c>
    </row>
    <row r="3" ht="24" customHeight="1">
      <c r="A3" s="4" t="inlineStr">
        <is>
          <t>A-102</t>
        </is>
      </c>
      <c r="B3" s="5" t="inlineStr">
        <is>
          <t>Exterior Door</t>
        </is>
      </c>
      <c r="C3" s="5" t="inlineStr">
        <is>
          <t>&gt; 1/2"</t>
        </is>
      </c>
      <c r="D3" s="5" t="inlineStr">
        <is>
          <t>Moderate</t>
        </is>
      </c>
      <c r="E3" s="5" t="inlineStr">
        <is>
          <t>ADA 404</t>
        </is>
      </c>
      <c r="F3" s="5" t="inlineStr">
        <is>
          <t>Provide ramped threshold or adjust exterior slab.</t>
        </is>
      </c>
      <c r="G3" s="5" t="inlineStr">
        <is>
          <t>ada_required=true, location=exterior</t>
        </is>
      </c>
    </row>
    <row r="4" ht="24" customHeight="1">
      <c r="A4" s="2" t="inlineStr">
        <is>
          <t>A-103</t>
        </is>
      </c>
      <c r="B4" s="3" t="inlineStr">
        <is>
          <t>Hardware mounting height</t>
        </is>
      </c>
      <c r="C4" s="3" t="inlineStr">
        <is>
          <t>Not between 34"–48"</t>
        </is>
      </c>
      <c r="D4" s="3" t="inlineStr">
        <is>
          <t>Moderate</t>
        </is>
      </c>
      <c r="E4" s="3" t="inlineStr">
        <is>
          <t>ADA / ICC A117.1</t>
        </is>
      </c>
      <c r="F4" s="3" t="inlineStr">
        <is>
          <t>Relocate hardware within 34"–48" AFF.</t>
        </is>
      </c>
      <c r="G4" s="3" t="inlineStr">
        <is>
          <t>ada_required=true</t>
        </is>
      </c>
    </row>
    <row r="5" ht="24" customHeight="1">
      <c r="A5" s="4" t="inlineStr">
        <is>
          <t>A-104</t>
        </is>
      </c>
      <c r="B5" s="5" t="inlineStr">
        <is>
          <t>Operable force</t>
        </is>
      </c>
      <c r="C5" s="5" t="inlineStr">
        <is>
          <t>&gt; code limit</t>
        </is>
      </c>
      <c r="D5" s="5" t="inlineStr">
        <is>
          <t>Moderate</t>
        </is>
      </c>
      <c r="E5" s="5" t="inlineStr">
        <is>
          <t>ADA / ICC A117.1</t>
        </is>
      </c>
      <c r="F5" s="5" t="inlineStr">
        <is>
          <t>Specify hardware within allowable force limits.</t>
        </is>
      </c>
      <c r="G5" s="5" t="inlineStr">
        <is>
          <t>ada_required=true</t>
        </is>
      </c>
    </row>
    <row r="6" ht="24" customHeight="1">
      <c r="A6" s="2" t="inlineStr">
        <is>
          <t>A-105</t>
        </is>
      </c>
      <c r="B6" s="3" t="inlineStr">
        <is>
          <t>Non-accessible operable parts</t>
        </is>
      </c>
      <c r="C6" s="3" t="inlineStr">
        <is>
          <t>Tight grasp required</t>
        </is>
      </c>
      <c r="D6" s="3" t="inlineStr">
        <is>
          <t>Moderate</t>
        </is>
      </c>
      <c r="E6" s="3" t="inlineStr">
        <is>
          <t>ADA / ICC A117.1</t>
        </is>
      </c>
      <c r="F6" s="3" t="inlineStr">
        <is>
          <t>Replace with lever or accessible hardware.</t>
        </is>
      </c>
      <c r="G6" s="3" t="inlineStr">
        <is>
          <t>ada_required=true</t>
        </is>
      </c>
    </row>
    <row r="7" ht="24" customHeight="1">
      <c r="A7" s="4" t="inlineStr">
        <is>
          <t>A-106</t>
        </is>
      </c>
      <c r="B7" s="5" t="inlineStr">
        <is>
          <t>Door opening force</t>
        </is>
      </c>
      <c r="C7" s="5" t="inlineStr">
        <is>
          <t>Exceeds limits</t>
        </is>
      </c>
      <c r="D7" s="5" t="inlineStr">
        <is>
          <t>Moderate</t>
        </is>
      </c>
      <c r="E7" s="5" t="inlineStr">
        <is>
          <t>ADA / ICC A117.1</t>
        </is>
      </c>
      <c r="F7" s="5" t="inlineStr">
        <is>
          <t>Reduce closer force or change hardware.</t>
        </is>
      </c>
      <c r="G7" s="5" t="inlineStr">
        <is>
          <t>ada_required=true</t>
        </is>
      </c>
    </row>
    <row r="8" ht="24" customHeight="1">
      <c r="A8" s="2" t="inlineStr">
        <is>
          <t>A-107</t>
        </is>
      </c>
      <c r="B8" s="3" t="inlineStr">
        <is>
          <t>Door in Path of Egress</t>
        </is>
      </c>
      <c r="C8" s="3" t="inlineStr">
        <is>
          <t>Hardware set calls for latching hardware with no panic</t>
        </is>
      </c>
      <c r="D8" s="3" t="inlineStr">
        <is>
          <t>Critical</t>
        </is>
      </c>
      <c r="E8" s="3" t="inlineStr"/>
      <c r="F8" s="3" t="inlineStr">
        <is>
          <t>Use egress hardware set with exit device</t>
        </is>
      </c>
      <c r="G8" s="3" t="inlineStr"/>
    </row>
    <row r="9" ht="24" customHeight="1">
      <c r="A9" s="6">
        <f>IF(B9&lt;&gt;"","A-108","")</f>
        <v/>
      </c>
      <c r="B9" s="7" t="inlineStr"/>
      <c r="C9" s="7" t="inlineStr"/>
      <c r="D9" s="7" t="inlineStr"/>
      <c r="E9" s="7" t="inlineStr"/>
      <c r="F9" s="7" t="inlineStr"/>
      <c r="G9" s="7" t="inlineStr"/>
    </row>
    <row r="10" ht="24" customHeight="1">
      <c r="A10" s="6">
        <f>IF(B10&lt;&gt;"","A-109","")</f>
        <v/>
      </c>
      <c r="B10" s="7" t="inlineStr"/>
      <c r="C10" s="7" t="inlineStr"/>
      <c r="D10" s="7" t="inlineStr"/>
      <c r="E10" s="7" t="inlineStr"/>
      <c r="F10" s="7" t="inlineStr"/>
      <c r="G10" s="7" t="inlineStr"/>
    </row>
    <row r="11" ht="24" customHeight="1">
      <c r="A11" s="6">
        <f>IF(B11&lt;&gt;"","A-110","")</f>
        <v/>
      </c>
      <c r="B11" s="7" t="inlineStr"/>
      <c r="C11" s="7" t="inlineStr"/>
      <c r="D11" s="7" t="inlineStr"/>
      <c r="E11" s="7" t="inlineStr"/>
      <c r="F11" s="7" t="inlineStr"/>
      <c r="G11" s="7" t="inlineStr"/>
    </row>
    <row r="12" ht="24" customHeight="1">
      <c r="A12" s="6">
        <f>IF(B12&lt;&gt;"","A-111","")</f>
        <v/>
      </c>
      <c r="B12" s="7" t="inlineStr"/>
      <c r="C12" s="7" t="inlineStr"/>
      <c r="D12" s="7" t="inlineStr"/>
      <c r="E12" s="7" t="inlineStr"/>
      <c r="F12" s="7" t="inlineStr"/>
      <c r="G12" s="7" t="inlineStr"/>
    </row>
    <row r="13" ht="24" customHeight="1">
      <c r="A13" s="6">
        <f>IF(B13&lt;&gt;"","A-112","")</f>
        <v/>
      </c>
      <c r="B13" s="7" t="inlineStr"/>
      <c r="C13" s="7" t="inlineStr"/>
      <c r="D13" s="7" t="inlineStr"/>
      <c r="E13" s="7" t="inlineStr"/>
      <c r="F13" s="7" t="inlineStr"/>
      <c r="G13" s="7" t="inlineStr"/>
    </row>
    <row r="14" ht="24" customHeight="1">
      <c r="A14" s="6">
        <f>IF(B14&lt;&gt;"","A-113","")</f>
        <v/>
      </c>
      <c r="B14" s="7" t="inlineStr"/>
      <c r="C14" s="7" t="inlineStr"/>
      <c r="D14" s="7" t="inlineStr"/>
      <c r="E14" s="7" t="inlineStr"/>
      <c r="F14" s="7" t="inlineStr"/>
      <c r="G14" s="7" t="inlineStr"/>
    </row>
    <row r="15" ht="24" customHeight="1">
      <c r="A15" s="6">
        <f>IF(B15&lt;&gt;"","A-114","")</f>
        <v/>
      </c>
      <c r="B15" s="7" t="inlineStr"/>
      <c r="C15" s="7" t="inlineStr"/>
      <c r="D15" s="7" t="inlineStr"/>
      <c r="E15" s="7" t="inlineStr"/>
      <c r="F15" s="7" t="inlineStr"/>
      <c r="G15" s="7" t="inlineStr"/>
    </row>
    <row r="16" ht="24" customHeight="1">
      <c r="A16" s="6">
        <f>IF(B16&lt;&gt;"","A-115","")</f>
        <v/>
      </c>
      <c r="B16" s="7" t="inlineStr"/>
      <c r="C16" s="7" t="inlineStr"/>
      <c r="D16" s="7" t="inlineStr"/>
      <c r="E16" s="7" t="inlineStr"/>
      <c r="F16" s="7" t="inlineStr"/>
      <c r="G16" s="7" t="inlineStr"/>
    </row>
    <row r="17" ht="24" customHeight="1">
      <c r="A17" s="6">
        <f>IF(B17&lt;&gt;"","A-116","")</f>
        <v/>
      </c>
      <c r="B17" s="7" t="inlineStr"/>
      <c r="C17" s="7" t="inlineStr"/>
      <c r="D17" s="7" t="inlineStr"/>
      <c r="E17" s="7" t="inlineStr"/>
      <c r="F17" s="7" t="inlineStr"/>
      <c r="G17" s="7" t="inlineStr"/>
    </row>
    <row r="18" ht="24" customHeight="1">
      <c r="A18" s="6">
        <f>IF(B18&lt;&gt;"","A-117","")</f>
        <v/>
      </c>
      <c r="B18" s="7" t="inlineStr"/>
      <c r="C18" s="7" t="inlineStr"/>
      <c r="D18" s="7" t="inlineStr"/>
      <c r="E18" s="7" t="inlineStr"/>
      <c r="F18" s="7" t="inlineStr"/>
      <c r="G18" s="7" t="inlineStr"/>
    </row>
    <row r="19" ht="24" customHeight="1">
      <c r="A19" s="6">
        <f>IF(B19&lt;&gt;"","A-118","")</f>
        <v/>
      </c>
      <c r="B19" s="7" t="inlineStr"/>
      <c r="C19" s="7" t="inlineStr"/>
      <c r="D19" s="7" t="inlineStr"/>
      <c r="E19" s="7" t="inlineStr"/>
      <c r="F19" s="7" t="inlineStr"/>
      <c r="G19" s="7" t="inlineStr"/>
    </row>
    <row r="20" ht="24" customHeight="1">
      <c r="A20" s="6">
        <f>IF(B20&lt;&gt;"","A-119","")</f>
        <v/>
      </c>
      <c r="B20" s="7" t="inlineStr"/>
      <c r="C20" s="7" t="inlineStr"/>
      <c r="D20" s="7" t="inlineStr"/>
      <c r="E20" s="7" t="inlineStr"/>
      <c r="F20" s="7" t="inlineStr"/>
      <c r="G20" s="7" t="inlineStr"/>
    </row>
    <row r="21" ht="24" customHeight="1">
      <c r="A21" s="6">
        <f>IF(B21&lt;&gt;"","A-120","")</f>
        <v/>
      </c>
      <c r="B21" s="7" t="inlineStr"/>
      <c r="C21" s="7" t="inlineStr"/>
      <c r="D21" s="7" t="inlineStr"/>
      <c r="E21" s="7" t="inlineStr"/>
      <c r="F21" s="7" t="inlineStr"/>
      <c r="G21" s="7" t="inlineStr"/>
    </row>
    <row r="22" ht="24" customHeight="1">
      <c r="A22" s="6">
        <f>IF(B22&lt;&gt;"","A-121","")</f>
        <v/>
      </c>
      <c r="B22" s="7" t="inlineStr"/>
      <c r="C22" s="7" t="inlineStr"/>
      <c r="D22" s="7" t="inlineStr"/>
      <c r="E22" s="7" t="inlineStr"/>
      <c r="F22" s="7" t="inlineStr"/>
      <c r="G22" s="7" t="inlineStr"/>
    </row>
    <row r="23" ht="24" customHeight="1">
      <c r="A23" s="6">
        <f>IF(B23&lt;&gt;"","A-122","")</f>
        <v/>
      </c>
      <c r="B23" s="7" t="inlineStr"/>
      <c r="C23" s="7" t="inlineStr"/>
      <c r="D23" s="7" t="inlineStr"/>
      <c r="E23" s="7" t="inlineStr"/>
      <c r="F23" s="7" t="inlineStr"/>
      <c r="G23" s="7" t="inlineStr"/>
    </row>
    <row r="24" ht="24" customHeight="1">
      <c r="A24" s="6">
        <f>IF(B24&lt;&gt;"","A-123","")</f>
        <v/>
      </c>
      <c r="B24" s="7" t="inlineStr"/>
      <c r="C24" s="7" t="inlineStr"/>
      <c r="D24" s="7" t="inlineStr"/>
      <c r="E24" s="7" t="inlineStr"/>
      <c r="F24" s="7" t="inlineStr"/>
      <c r="G24" s="7" t="inlineStr"/>
    </row>
    <row r="25" ht="24" customHeight="1">
      <c r="A25" s="6">
        <f>IF(B25&lt;&gt;"","A-124","")</f>
        <v/>
      </c>
      <c r="B25" s="7" t="inlineStr"/>
      <c r="C25" s="7" t="inlineStr"/>
      <c r="D25" s="7" t="inlineStr"/>
      <c r="E25" s="7" t="inlineStr"/>
      <c r="F25" s="7" t="inlineStr"/>
      <c r="G25" s="7" t="inlineStr"/>
    </row>
    <row r="26" ht="24" customHeight="1">
      <c r="A26" s="6">
        <f>IF(B26&lt;&gt;"","A-125","")</f>
        <v/>
      </c>
      <c r="B26" s="7" t="inlineStr"/>
      <c r="C26" s="7" t="inlineStr"/>
      <c r="D26" s="7" t="inlineStr"/>
      <c r="E26" s="7" t="inlineStr"/>
      <c r="F26" s="7" t="inlineStr"/>
      <c r="G26" s="7" t="inlineStr"/>
    </row>
    <row r="27" ht="24" customHeight="1">
      <c r="A27" s="6">
        <f>IF(B27&lt;&gt;"","A-126","")</f>
        <v/>
      </c>
      <c r="B27" s="7" t="inlineStr"/>
      <c r="C27" s="7" t="inlineStr"/>
      <c r="D27" s="7" t="inlineStr"/>
      <c r="E27" s="7" t="inlineStr"/>
      <c r="F27" s="7" t="inlineStr"/>
      <c r="G27" s="7" t="inlineStr"/>
    </row>
    <row r="28" ht="24" customHeight="1">
      <c r="A28" s="6">
        <f>IF(B28&lt;&gt;"","A-127","")</f>
        <v/>
      </c>
      <c r="B28" s="7" t="inlineStr"/>
      <c r="C28" s="7" t="inlineStr"/>
      <c r="D28" s="7" t="inlineStr"/>
      <c r="E28" s="7" t="inlineStr"/>
      <c r="F28" s="7" t="inlineStr"/>
      <c r="G28" s="7" t="inlineStr"/>
    </row>
    <row r="29" ht="24" customHeight="1"/>
  </sheetData>
  <dataValidations count="2">
    <dataValidation sqref="D2:D29" showDropDown="0" showInputMessage="0" showErrorMessage="0" allowBlank="1" errorTitle="Invalid Severity" error="Pick a severity level" promptTitle="Severity" prompt="Select severity" type="list">
      <formula1>"Critical,Warning,Advisory,Info"</formula1>
    </dataValidation>
    <dataValidation sqref="G2:G29" showDropDown="0" showInputMessage="0" showErrorMessage="0" allowBlank="1" errorTitle="Trigger" error="Pick a trigger or type your own" promptTitle="When To Apply" prompt="Select when this rule applies" type="list">
      <formula1>"egress=true,ada_required=true,fire_rated=true,auto_operator=true,access_control=true,panic_required=true,vestibule=true,location=exterior,location=interior,state=MA,glazing=true"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2" customWidth="1" min="4" max="4"/>
    <col width="18" customWidth="1" min="5" max="5"/>
    <col width="40" customWidth="1" min="6" max="6"/>
    <col width="30" customWidth="1" min="7" max="7"/>
  </cols>
  <sheetData>
    <row r="1" ht="28" customHeight="1">
      <c r="A1" s="8" t="inlineStr">
        <is>
          <t>Rule ID</t>
        </is>
      </c>
      <c r="B1" s="8" t="inlineStr">
        <is>
          <t>What To Check</t>
        </is>
      </c>
      <c r="C1" s="8" t="inlineStr">
        <is>
          <t>Fail When</t>
        </is>
      </c>
      <c r="D1" s="8" t="inlineStr">
        <is>
          <t>Severity</t>
        </is>
      </c>
      <c r="E1" s="8" t="inlineStr">
        <is>
          <t>Code Ref</t>
        </is>
      </c>
      <c r="F1" s="8" t="inlineStr">
        <is>
          <t>How To Fix</t>
        </is>
      </c>
      <c r="G1" s="8" t="inlineStr">
        <is>
          <t>When To Apply</t>
        </is>
      </c>
    </row>
    <row r="2" ht="24" customHeight="1">
      <c r="A2" s="2" t="inlineStr">
        <is>
          <t>F-101</t>
        </is>
      </c>
      <c r="B2" s="3" t="inlineStr">
        <is>
          <t>Fire Rated Door</t>
        </is>
      </c>
      <c r="C2" s="3" t="inlineStr">
        <is>
          <t>Not Shown</t>
        </is>
      </c>
      <c r="D2" s="3" t="inlineStr">
        <is>
          <t>Critical</t>
        </is>
      </c>
      <c r="E2" s="3" t="inlineStr">
        <is>
          <t>IBC 715 / NFPA 80</t>
        </is>
      </c>
      <c r="F2" s="3" t="inlineStr">
        <is>
          <t>Provide listed fire-rated glazing assembly.</t>
        </is>
      </c>
      <c r="G2" s="3" t="inlineStr">
        <is>
          <t>fire_rated=true</t>
        </is>
      </c>
    </row>
    <row r="3" ht="24" customHeight="1">
      <c r="A3" s="4" t="inlineStr">
        <is>
          <t>F-102</t>
        </is>
      </c>
      <c r="B3" s="5" t="inlineStr">
        <is>
          <t>Door in Path of Egress</t>
        </is>
      </c>
      <c r="C3" s="5" t="inlineStr">
        <is>
          <t>Not Shown</t>
        </is>
      </c>
      <c r="D3" s="5" t="inlineStr">
        <is>
          <t>Moderate</t>
        </is>
      </c>
      <c r="E3" s="5" t="inlineStr">
        <is>
          <t>NFPA 80</t>
        </is>
      </c>
      <c r="F3" s="5" t="inlineStr">
        <is>
          <t>Provide self-closing, positive-latching hardware.</t>
        </is>
      </c>
      <c r="G3" s="5" t="inlineStr">
        <is>
          <t>fire_rated=true</t>
        </is>
      </c>
    </row>
    <row r="4" ht="24" customHeight="1">
      <c r="A4" s="2" t="inlineStr">
        <is>
          <t>F-103</t>
        </is>
      </c>
      <c r="B4" s="3" t="inlineStr">
        <is>
          <t>Self-closing / positive latching</t>
        </is>
      </c>
      <c r="C4" s="3" t="inlineStr">
        <is>
          <t>Not provided</t>
        </is>
      </c>
      <c r="D4" s="3" t="inlineStr">
        <is>
          <t>Critical</t>
        </is>
      </c>
      <c r="E4" s="3" t="inlineStr">
        <is>
          <t>NFPA 80 / IBC</t>
        </is>
      </c>
      <c r="F4" s="3" t="inlineStr">
        <is>
          <t>Provide self-closing, positive-latching hardware.</t>
        </is>
      </c>
      <c r="G4" s="3" t="inlineStr">
        <is>
          <t>fire_rated=true</t>
        </is>
      </c>
    </row>
    <row r="5" ht="24" customHeight="1">
      <c r="A5" s="4" t="inlineStr">
        <is>
          <t>F-104</t>
        </is>
      </c>
      <c r="B5" s="5" t="inlineStr">
        <is>
          <t>Fire door hardware listing</t>
        </is>
      </c>
      <c r="C5" s="5" t="inlineStr">
        <is>
          <t>Not shown</t>
        </is>
      </c>
      <c r="D5" s="5" t="inlineStr">
        <is>
          <t>Critical</t>
        </is>
      </c>
      <c r="E5" s="5" t="inlineStr">
        <is>
          <t>NFPA 80 / UL10C</t>
        </is>
      </c>
      <c r="F5" s="5" t="inlineStr">
        <is>
          <t>Specify hardware listed for fire-rated door assembly.</t>
        </is>
      </c>
      <c r="G5" s="5" t="inlineStr">
        <is>
          <t>fire_rated=true</t>
        </is>
      </c>
    </row>
    <row r="6" ht="24" customHeight="1">
      <c r="A6" s="2" t="inlineStr">
        <is>
          <t>F-105</t>
        </is>
      </c>
      <c r="B6" s="3" t="inlineStr">
        <is>
          <t>Fire rated door with access control</t>
        </is>
      </c>
      <c r="C6" s="3" t="inlineStr">
        <is>
          <t>No fire-rated exit device</t>
        </is>
      </c>
      <c r="D6" s="3" t="inlineStr">
        <is>
          <t>Critical</t>
        </is>
      </c>
      <c r="E6" s="3" t="inlineStr">
        <is>
          <t>NFPA 80 / IBC</t>
        </is>
      </c>
      <c r="F6" s="3" t="inlineStr">
        <is>
          <t>Provide fire-rated electrified exit device.</t>
        </is>
      </c>
      <c r="G6" s="3" t="inlineStr">
        <is>
          <t>fire_rated=true, access_control=true</t>
        </is>
      </c>
    </row>
    <row r="7" ht="24" customHeight="1">
      <c r="A7" s="4" t="inlineStr">
        <is>
          <t>F-106</t>
        </is>
      </c>
      <c r="B7" s="5" t="inlineStr">
        <is>
          <t>Fire alarm interface</t>
        </is>
      </c>
      <c r="C7" s="5" t="inlineStr">
        <is>
          <t>Not documented</t>
        </is>
      </c>
      <c r="D7" s="5" t="inlineStr">
        <is>
          <t>Warning</t>
        </is>
      </c>
      <c r="E7" s="5" t="inlineStr">
        <is>
          <t>NFPA 72 / NFPA 80</t>
        </is>
      </c>
      <c r="F7" s="5" t="inlineStr">
        <is>
          <t>Document fire alarm unlock interface.</t>
        </is>
      </c>
      <c r="G7" s="5" t="inlineStr">
        <is>
          <t>fire_rated=true</t>
        </is>
      </c>
    </row>
    <row r="8" ht="24" customHeight="1">
      <c r="A8" s="2" t="inlineStr">
        <is>
          <t>F-107</t>
        </is>
      </c>
      <c r="B8" s="3" t="inlineStr">
        <is>
          <t>Door Vision Lite</t>
        </is>
      </c>
      <c r="C8" s="3" t="inlineStr">
        <is>
          <t>Not Shown</t>
        </is>
      </c>
      <c r="D8" s="3" t="inlineStr">
        <is>
          <t>Critical</t>
        </is>
      </c>
      <c r="E8" s="3" t="inlineStr">
        <is>
          <t>IBC 2406.4.1</t>
        </is>
      </c>
      <c r="F8" s="3" t="inlineStr">
        <is>
          <t>Specify safety glazing meeting ANSI Z97.1 / 16 CFR 1201.</t>
        </is>
      </c>
      <c r="G8" s="3" t="inlineStr">
        <is>
          <t>glazing=true</t>
        </is>
      </c>
    </row>
    <row r="9" ht="24" customHeight="1">
      <c r="A9" s="4" t="inlineStr">
        <is>
          <t>F-108</t>
        </is>
      </c>
      <c r="B9" s="5" t="inlineStr">
        <is>
          <t>Adjacent Glazing</t>
        </is>
      </c>
      <c r="C9" s="5" t="inlineStr">
        <is>
          <t>Within 24"</t>
        </is>
      </c>
      <c r="D9" s="5" t="inlineStr">
        <is>
          <t>Critical</t>
        </is>
      </c>
      <c r="E9" s="5" t="inlineStr">
        <is>
          <t>IBC 2406.4.2</t>
        </is>
      </c>
      <c r="F9" s="5" t="inlineStr">
        <is>
          <t>Provide safety glazing at sidelites within 24" of door.</t>
        </is>
      </c>
      <c r="G9" s="5" t="inlineStr">
        <is>
          <t>glazing=true</t>
        </is>
      </c>
    </row>
    <row r="10" ht="24" customHeight="1">
      <c r="A10" s="2" t="inlineStr">
        <is>
          <t>F-109</t>
        </is>
      </c>
      <c r="B10" s="3" t="inlineStr">
        <is>
          <t>Fixed Glazing Panel</t>
        </is>
      </c>
      <c r="C10" s="3" t="inlineStr">
        <is>
          <t>Area &gt; 9 SF</t>
        </is>
      </c>
      <c r="D10" s="3" t="inlineStr">
        <is>
          <t>Moderate</t>
        </is>
      </c>
      <c r="E10" s="3" t="inlineStr">
        <is>
          <t>IBC 2406.4.3</t>
        </is>
      </c>
      <c r="F10" s="3" t="inlineStr">
        <is>
          <t>Upgrade panel to safety glazing.</t>
        </is>
      </c>
      <c r="G10" s="3" t="inlineStr">
        <is>
          <t>glazing=true</t>
        </is>
      </c>
    </row>
    <row r="11" ht="24" customHeight="1">
      <c r="A11" s="6">
        <f>IF(B11&lt;&gt;"","F-110","")</f>
        <v/>
      </c>
      <c r="B11" s="7" t="inlineStr"/>
      <c r="C11" s="7" t="inlineStr"/>
      <c r="D11" s="7" t="inlineStr"/>
      <c r="E11" s="7" t="inlineStr"/>
      <c r="F11" s="7" t="inlineStr"/>
      <c r="G11" s="7" t="inlineStr"/>
    </row>
    <row r="12" ht="24" customHeight="1">
      <c r="A12" s="6">
        <f>IF(B12&lt;&gt;"","F-111","")</f>
        <v/>
      </c>
      <c r="B12" s="7" t="inlineStr"/>
      <c r="C12" s="7" t="inlineStr"/>
      <c r="D12" s="7" t="inlineStr"/>
      <c r="E12" s="7" t="inlineStr"/>
      <c r="F12" s="7" t="inlineStr"/>
      <c r="G12" s="7" t="inlineStr"/>
    </row>
    <row r="13" ht="24" customHeight="1">
      <c r="A13" s="6">
        <f>IF(B13&lt;&gt;"","F-112","")</f>
        <v/>
      </c>
      <c r="B13" s="7" t="inlineStr"/>
      <c r="C13" s="7" t="inlineStr"/>
      <c r="D13" s="7" t="inlineStr"/>
      <c r="E13" s="7" t="inlineStr"/>
      <c r="F13" s="7" t="inlineStr"/>
      <c r="G13" s="7" t="inlineStr"/>
    </row>
    <row r="14" ht="24" customHeight="1">
      <c r="A14" s="6">
        <f>IF(B14&lt;&gt;"","F-113","")</f>
        <v/>
      </c>
      <c r="B14" s="7" t="inlineStr"/>
      <c r="C14" s="7" t="inlineStr"/>
      <c r="D14" s="7" t="inlineStr"/>
      <c r="E14" s="7" t="inlineStr"/>
      <c r="F14" s="7" t="inlineStr"/>
      <c r="G14" s="7" t="inlineStr"/>
    </row>
    <row r="15" ht="24" customHeight="1">
      <c r="A15" s="6">
        <f>IF(B15&lt;&gt;"","F-114","")</f>
        <v/>
      </c>
      <c r="B15" s="7" t="inlineStr"/>
      <c r="C15" s="7" t="inlineStr"/>
      <c r="D15" s="7" t="inlineStr"/>
      <c r="E15" s="7" t="inlineStr"/>
      <c r="F15" s="7" t="inlineStr"/>
      <c r="G15" s="7" t="inlineStr"/>
    </row>
    <row r="16" ht="24" customHeight="1">
      <c r="A16" s="6">
        <f>IF(B16&lt;&gt;"","F-115","")</f>
        <v/>
      </c>
      <c r="B16" s="7" t="inlineStr"/>
      <c r="C16" s="7" t="inlineStr"/>
      <c r="D16" s="7" t="inlineStr"/>
      <c r="E16" s="7" t="inlineStr"/>
      <c r="F16" s="7" t="inlineStr"/>
      <c r="G16" s="7" t="inlineStr"/>
    </row>
    <row r="17" ht="24" customHeight="1">
      <c r="A17" s="6">
        <f>IF(B17&lt;&gt;"","F-116","")</f>
        <v/>
      </c>
      <c r="B17" s="7" t="inlineStr"/>
      <c r="C17" s="7" t="inlineStr"/>
      <c r="D17" s="7" t="inlineStr"/>
      <c r="E17" s="7" t="inlineStr"/>
      <c r="F17" s="7" t="inlineStr"/>
      <c r="G17" s="7" t="inlineStr"/>
    </row>
    <row r="18" ht="24" customHeight="1">
      <c r="A18" s="6">
        <f>IF(B18&lt;&gt;"","F-117","")</f>
        <v/>
      </c>
      <c r="B18" s="7" t="inlineStr"/>
      <c r="C18" s="7" t="inlineStr"/>
      <c r="D18" s="7" t="inlineStr"/>
      <c r="E18" s="7" t="inlineStr"/>
      <c r="F18" s="7" t="inlineStr"/>
      <c r="G18" s="7" t="inlineStr"/>
    </row>
    <row r="19" ht="24" customHeight="1">
      <c r="A19" s="6">
        <f>IF(B19&lt;&gt;"","F-118","")</f>
        <v/>
      </c>
      <c r="B19" s="7" t="inlineStr"/>
      <c r="C19" s="7" t="inlineStr"/>
      <c r="D19" s="7" t="inlineStr"/>
      <c r="E19" s="7" t="inlineStr"/>
      <c r="F19" s="7" t="inlineStr"/>
      <c r="G19" s="7" t="inlineStr"/>
    </row>
    <row r="20" ht="24" customHeight="1">
      <c r="A20" s="6">
        <f>IF(B20&lt;&gt;"","F-119","")</f>
        <v/>
      </c>
      <c r="B20" s="7" t="inlineStr"/>
      <c r="C20" s="7" t="inlineStr"/>
      <c r="D20" s="7" t="inlineStr"/>
      <c r="E20" s="7" t="inlineStr"/>
      <c r="F20" s="7" t="inlineStr"/>
      <c r="G20" s="7" t="inlineStr"/>
    </row>
    <row r="21" ht="24" customHeight="1">
      <c r="A21" s="6">
        <f>IF(B21&lt;&gt;"","F-120","")</f>
        <v/>
      </c>
      <c r="B21" s="7" t="inlineStr"/>
      <c r="C21" s="7" t="inlineStr"/>
      <c r="D21" s="7" t="inlineStr"/>
      <c r="E21" s="7" t="inlineStr"/>
      <c r="F21" s="7" t="inlineStr"/>
      <c r="G21" s="7" t="inlineStr"/>
    </row>
    <row r="22" ht="24" customHeight="1">
      <c r="A22" s="6">
        <f>IF(B22&lt;&gt;"","F-121","")</f>
        <v/>
      </c>
      <c r="B22" s="7" t="inlineStr"/>
      <c r="C22" s="7" t="inlineStr"/>
      <c r="D22" s="7" t="inlineStr"/>
      <c r="E22" s="7" t="inlineStr"/>
      <c r="F22" s="7" t="inlineStr"/>
      <c r="G22" s="7" t="inlineStr"/>
    </row>
    <row r="23" ht="24" customHeight="1">
      <c r="A23" s="6">
        <f>IF(B23&lt;&gt;"","F-122","")</f>
        <v/>
      </c>
      <c r="B23" s="7" t="inlineStr"/>
      <c r="C23" s="7" t="inlineStr"/>
      <c r="D23" s="7" t="inlineStr"/>
      <c r="E23" s="7" t="inlineStr"/>
      <c r="F23" s="7" t="inlineStr"/>
      <c r="G23" s="7" t="inlineStr"/>
    </row>
    <row r="24" ht="24" customHeight="1">
      <c r="A24" s="6">
        <f>IF(B24&lt;&gt;"","F-123","")</f>
        <v/>
      </c>
      <c r="B24" s="7" t="inlineStr"/>
      <c r="C24" s="7" t="inlineStr"/>
      <c r="D24" s="7" t="inlineStr"/>
      <c r="E24" s="7" t="inlineStr"/>
      <c r="F24" s="7" t="inlineStr"/>
      <c r="G24" s="7" t="inlineStr"/>
    </row>
    <row r="25" ht="24" customHeight="1">
      <c r="A25" s="6">
        <f>IF(B25&lt;&gt;"","F-124","")</f>
        <v/>
      </c>
      <c r="B25" s="7" t="inlineStr"/>
      <c r="C25" s="7" t="inlineStr"/>
      <c r="D25" s="7" t="inlineStr"/>
      <c r="E25" s="7" t="inlineStr"/>
      <c r="F25" s="7" t="inlineStr"/>
      <c r="G25" s="7" t="inlineStr"/>
    </row>
    <row r="26" ht="24" customHeight="1">
      <c r="A26" s="6">
        <f>IF(B26&lt;&gt;"","F-125","")</f>
        <v/>
      </c>
      <c r="B26" s="7" t="inlineStr"/>
      <c r="C26" s="7" t="inlineStr"/>
      <c r="D26" s="7" t="inlineStr"/>
      <c r="E26" s="7" t="inlineStr"/>
      <c r="F26" s="7" t="inlineStr"/>
      <c r="G26" s="7" t="inlineStr"/>
    </row>
    <row r="27" ht="24" customHeight="1">
      <c r="A27" s="6">
        <f>IF(B27&lt;&gt;"","F-126","")</f>
        <v/>
      </c>
      <c r="B27" s="7" t="inlineStr"/>
      <c r="C27" s="7" t="inlineStr"/>
      <c r="D27" s="7" t="inlineStr"/>
      <c r="E27" s="7" t="inlineStr"/>
      <c r="F27" s="7" t="inlineStr"/>
      <c r="G27" s="7" t="inlineStr"/>
    </row>
    <row r="28" ht="24" customHeight="1">
      <c r="A28" s="6">
        <f>IF(B28&lt;&gt;"","F-127","")</f>
        <v/>
      </c>
      <c r="B28" s="7" t="inlineStr"/>
      <c r="C28" s="7" t="inlineStr"/>
      <c r="D28" s="7" t="inlineStr"/>
      <c r="E28" s="7" t="inlineStr"/>
      <c r="F28" s="7" t="inlineStr"/>
      <c r="G28" s="7" t="inlineStr"/>
    </row>
    <row r="29" ht="24" customHeight="1">
      <c r="A29" s="6">
        <f>IF(B29&lt;&gt;"","F-128","")</f>
        <v/>
      </c>
      <c r="B29" s="7" t="inlineStr"/>
      <c r="C29" s="7" t="inlineStr"/>
      <c r="D29" s="7" t="inlineStr"/>
      <c r="E29" s="7" t="inlineStr"/>
      <c r="F29" s="7" t="inlineStr"/>
      <c r="G29" s="7" t="inlineStr"/>
    </row>
    <row r="30" ht="24" customHeight="1">
      <c r="A30" s="6">
        <f>IF(B30&lt;&gt;"","F-129","")</f>
        <v/>
      </c>
      <c r="B30" s="7" t="inlineStr"/>
      <c r="C30" s="7" t="inlineStr"/>
      <c r="D30" s="7" t="inlineStr"/>
      <c r="E30" s="7" t="inlineStr"/>
      <c r="F30" s="7" t="inlineStr"/>
      <c r="G30" s="7" t="inlineStr"/>
    </row>
    <row r="31" ht="24" customHeight="1"/>
  </sheetData>
  <dataValidations count="2">
    <dataValidation sqref="D2:D31" showDropDown="0" showInputMessage="0" showErrorMessage="0" allowBlank="1" errorTitle="Invalid Severity" error="Pick a severity level" promptTitle="Severity" prompt="Select severity" type="list">
      <formula1>"Critical,Warning,Advisory,Info"</formula1>
    </dataValidation>
    <dataValidation sqref="G2:G31" showDropDown="0" showInputMessage="0" showErrorMessage="0" allowBlank="1" errorTitle="Trigger" error="Pick a trigger or type your own" promptTitle="When To Apply" prompt="Select when this rule applies" type="list">
      <formula1>"egress=true,ada_required=true,fire_rated=true,auto_operator=true,access_control=true,panic_required=true,vestibule=true,location=exterior,location=interior,state=MA,glazing=true"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2" customWidth="1" min="4" max="4"/>
    <col width="18" customWidth="1" min="5" max="5"/>
    <col width="40" customWidth="1" min="6" max="6"/>
    <col width="30" customWidth="1" min="7" max="7"/>
  </cols>
  <sheetData>
    <row r="1" ht="28" customHeight="1">
      <c r="A1" s="9" t="inlineStr">
        <is>
          <t>Rule ID</t>
        </is>
      </c>
      <c r="B1" s="9" t="inlineStr">
        <is>
          <t>What To Check</t>
        </is>
      </c>
      <c r="C1" s="9" t="inlineStr">
        <is>
          <t>Fail When</t>
        </is>
      </c>
      <c r="D1" s="9" t="inlineStr">
        <is>
          <t>Severity</t>
        </is>
      </c>
      <c r="E1" s="9" t="inlineStr">
        <is>
          <t>Code Ref</t>
        </is>
      </c>
      <c r="F1" s="9" t="inlineStr">
        <is>
          <t>How To Fix</t>
        </is>
      </c>
      <c r="G1" s="9" t="inlineStr">
        <is>
          <t>When To Apply</t>
        </is>
      </c>
    </row>
    <row r="2" ht="24" customHeight="1">
      <c r="A2" s="2" t="inlineStr">
        <is>
          <t>E-101</t>
        </is>
      </c>
      <c r="B2" s="3" t="inlineStr">
        <is>
          <t>Door in Path of Egress</t>
        </is>
      </c>
      <c r="C2" s="3" t="inlineStr">
        <is>
          <t>&lt; 80"</t>
        </is>
      </c>
      <c r="D2" s="3" t="inlineStr">
        <is>
          <t>Moderate</t>
        </is>
      </c>
      <c r="E2" s="3" t="inlineStr"/>
      <c r="F2" s="3" t="inlineStr">
        <is>
          <t>Increase clear height or adjust closer/stop.</t>
        </is>
      </c>
      <c r="G2" s="3" t="inlineStr">
        <is>
          <t>egress=true</t>
        </is>
      </c>
    </row>
    <row r="3" ht="24" customHeight="1">
      <c r="A3" s="4" t="inlineStr">
        <is>
          <t>E-102</t>
        </is>
      </c>
      <c r="B3" s="5" t="inlineStr">
        <is>
          <t>Required Panic Hardware</t>
        </is>
      </c>
      <c r="C3" s="5" t="inlineStr">
        <is>
          <t>Occupancy + occupant load</t>
        </is>
      </c>
      <c r="D3" s="5" t="inlineStr">
        <is>
          <t>Critical</t>
        </is>
      </c>
      <c r="E3" s="5" t="inlineStr">
        <is>
          <t>IBC / NFPA</t>
        </is>
      </c>
      <c r="F3" s="5" t="inlineStr">
        <is>
          <t>Provide panic or fire exit hardware listed per ANSI/BHMA A156.3.</t>
        </is>
      </c>
      <c r="G3" s="5" t="inlineStr">
        <is>
          <t>egress=true, panic_required=true</t>
        </is>
      </c>
    </row>
    <row r="4" ht="24" customHeight="1">
      <c r="A4" s="2" t="inlineStr">
        <is>
          <t>E-103</t>
        </is>
      </c>
      <c r="B4" s="3" t="inlineStr">
        <is>
          <t>Delayed egress device</t>
        </is>
      </c>
      <c r="C4" s="3" t="inlineStr">
        <is>
          <t>Not permitted</t>
        </is>
      </c>
      <c r="D4" s="3" t="inlineStr">
        <is>
          <t>Moderate</t>
        </is>
      </c>
      <c r="E4" s="3" t="inlineStr">
        <is>
          <t>IBC / NFPA</t>
        </is>
      </c>
      <c r="F4" s="3" t="inlineStr">
        <is>
          <t>Remove delayed egress unless specifically allowed.</t>
        </is>
      </c>
      <c r="G4" s="3" t="inlineStr">
        <is>
          <t>egress=true</t>
        </is>
      </c>
    </row>
    <row r="5" ht="24" customHeight="1">
      <c r="A5" s="4" t="inlineStr">
        <is>
          <t>E-104</t>
        </is>
      </c>
      <c r="B5" s="5" t="inlineStr">
        <is>
          <t>Additional locking devices</t>
        </is>
      </c>
      <c r="C5" s="5" t="inlineStr">
        <is>
          <t>Present</t>
        </is>
      </c>
      <c r="D5" s="5" t="inlineStr">
        <is>
          <t>Critical</t>
        </is>
      </c>
      <c r="E5" s="5" t="inlineStr">
        <is>
          <t>IBC / NFPA</t>
        </is>
      </c>
      <c r="F5" s="5" t="inlineStr">
        <is>
          <t>Remove secondary locks or chains.</t>
        </is>
      </c>
      <c r="G5" s="5" t="inlineStr">
        <is>
          <t>egress=true</t>
        </is>
      </c>
    </row>
    <row r="6" ht="24" customHeight="1">
      <c r="A6" s="2" t="inlineStr">
        <is>
          <t>E-105</t>
        </is>
      </c>
      <c r="B6" s="3" t="inlineStr">
        <is>
          <t>Electrified lock on egress door</t>
        </is>
      </c>
      <c r="C6" s="3" t="inlineStr">
        <is>
          <t>Fail-secure</t>
        </is>
      </c>
      <c r="D6" s="3" t="inlineStr">
        <is>
          <t>Critical</t>
        </is>
      </c>
      <c r="E6" s="3" t="inlineStr">
        <is>
          <t>IBC / NFPA</t>
        </is>
      </c>
      <c r="F6" s="3" t="inlineStr">
        <is>
          <t>Change electrified lock to fail-safe configuration.</t>
        </is>
      </c>
      <c r="G6" s="3" t="inlineStr">
        <is>
          <t>egress=true, electrified=true</t>
        </is>
      </c>
    </row>
    <row r="7" ht="24" customHeight="1">
      <c r="A7" s="4" t="inlineStr">
        <is>
          <t>E-106</t>
        </is>
      </c>
      <c r="B7" s="5" t="inlineStr">
        <is>
          <t>Electrified lock release</t>
        </is>
      </c>
      <c r="C7" s="5" t="inlineStr">
        <is>
          <t>Not tied to fire alarm</t>
        </is>
      </c>
      <c r="D7" s="5" t="inlineStr">
        <is>
          <t>Critical</t>
        </is>
      </c>
      <c r="E7" s="5" t="inlineStr">
        <is>
          <t>IBC / NFPA</t>
        </is>
      </c>
      <c r="F7" s="5" t="inlineStr">
        <is>
          <t>Integrate lock release with fire alarm system.</t>
        </is>
      </c>
      <c r="G7" s="5" t="inlineStr">
        <is>
          <t>egress=true, electrified=true</t>
        </is>
      </c>
    </row>
    <row r="8" ht="24" customHeight="1">
      <c r="A8" s="2" t="inlineStr">
        <is>
          <t>E-107</t>
        </is>
      </c>
      <c r="B8" s="3" t="inlineStr">
        <is>
          <t>Electrified lock on egress door</t>
        </is>
      </c>
      <c r="C8" s="3" t="inlineStr">
        <is>
          <t>No manual release</t>
        </is>
      </c>
      <c r="D8" s="3" t="inlineStr">
        <is>
          <t>Critical</t>
        </is>
      </c>
      <c r="E8" s="3" t="inlineStr">
        <is>
          <t>IBC / NFPA</t>
        </is>
      </c>
      <c r="F8" s="3" t="inlineStr">
        <is>
          <t>Add manual push-to-exit or panic release.</t>
        </is>
      </c>
      <c r="G8" s="3" t="inlineStr">
        <is>
          <t>egress=true, electrified=true</t>
        </is>
      </c>
    </row>
    <row r="9" ht="24" customHeight="1">
      <c r="A9" s="4" t="inlineStr">
        <is>
          <t>E-108</t>
        </is>
      </c>
      <c r="B9" s="5" t="inlineStr">
        <is>
          <t>Stairwell door locking</t>
        </is>
      </c>
      <c r="C9" s="5" t="inlineStr">
        <is>
          <t>Does not unlock on fire alarm</t>
        </is>
      </c>
      <c r="D9" s="5" t="inlineStr">
        <is>
          <t>Critical</t>
        </is>
      </c>
      <c r="E9" s="5" t="inlineStr">
        <is>
          <t>IBC</t>
        </is>
      </c>
      <c r="F9" s="5" t="inlineStr">
        <is>
          <t>Configure stair doors to unlock upon fire alarm.</t>
        </is>
      </c>
      <c r="G9" s="5" t="inlineStr">
        <is>
          <t>egress=true, stairwell=true</t>
        </is>
      </c>
    </row>
    <row r="10" ht="24" customHeight="1">
      <c r="A10" s="2" t="inlineStr">
        <is>
          <t>E-109</t>
        </is>
      </c>
      <c r="B10" s="3" t="inlineStr">
        <is>
          <t>Stairwell door re-entry</t>
        </is>
      </c>
      <c r="C10" s="3" t="inlineStr">
        <is>
          <t>No re-entry provision</t>
        </is>
      </c>
      <c r="D10" s="3" t="inlineStr">
        <is>
          <t>Critical</t>
        </is>
      </c>
      <c r="E10" s="3" t="inlineStr">
        <is>
          <t>IBC</t>
        </is>
      </c>
      <c r="F10" s="3" t="inlineStr">
        <is>
          <t>Add fail-safe unlocking or remote release.</t>
        </is>
      </c>
      <c r="G10" s="3" t="inlineStr">
        <is>
          <t>egress=true, stairwell=true</t>
        </is>
      </c>
    </row>
    <row r="11" ht="24" customHeight="1">
      <c r="A11" s="4" t="inlineStr">
        <is>
          <t>E-110</t>
        </is>
      </c>
      <c r="B11" s="5" t="inlineStr">
        <is>
          <t>Power transfer device</t>
        </is>
      </c>
      <c r="C11" s="5" t="inlineStr">
        <is>
          <t>Not specified</t>
        </is>
      </c>
      <c r="D11" s="5" t="inlineStr">
        <is>
          <t>Warning</t>
        </is>
      </c>
      <c r="E11" s="5" t="inlineStr">
        <is>
          <t>Field Practice (Non-Code)</t>
        </is>
      </c>
      <c r="F11" s="5" t="inlineStr">
        <is>
          <t>Add power transfer or electric hinge.</t>
        </is>
      </c>
      <c r="G11" s="5" t="inlineStr">
        <is>
          <t>electrified=true</t>
        </is>
      </c>
    </row>
    <row r="12" ht="24" customHeight="1">
      <c r="A12" s="2" t="inlineStr">
        <is>
          <t>E-111</t>
        </is>
      </c>
      <c r="B12" s="3" t="inlineStr">
        <is>
          <t>Access controlled exterior door</t>
        </is>
      </c>
      <c r="C12" s="3" t="inlineStr">
        <is>
          <t>No free egress</t>
        </is>
      </c>
      <c r="D12" s="3" t="inlineStr">
        <is>
          <t>Critical</t>
        </is>
      </c>
      <c r="E12" s="3" t="inlineStr">
        <is>
          <t>IBC / ADA</t>
        </is>
      </c>
      <c r="F12" s="3" t="inlineStr">
        <is>
          <t>Provide free mechanical egress regardless of credentialing.</t>
        </is>
      </c>
      <c r="G12" s="3" t="inlineStr">
        <is>
          <t>egress=true, access_control=true, location=exterior</t>
        </is>
      </c>
    </row>
    <row r="13" ht="24" customHeight="1">
      <c r="A13" s="4" t="inlineStr">
        <is>
          <t>E-112</t>
        </is>
      </c>
      <c r="B13" s="5" t="inlineStr">
        <is>
          <t>Vestibule access sequence</t>
        </is>
      </c>
      <c r="C13" s="5" t="inlineStr">
        <is>
          <t>Exterior door controlled</t>
        </is>
      </c>
      <c r="D13" s="5" t="inlineStr">
        <is>
          <t>Critical</t>
        </is>
      </c>
      <c r="E13" s="5" t="inlineStr">
        <is>
          <t>Field Practice (Non-Code)</t>
        </is>
      </c>
      <c r="F13" s="5" t="inlineStr">
        <is>
          <t>Move access control to interior vestibule doors.</t>
        </is>
      </c>
      <c r="G13" s="5" t="inlineStr">
        <is>
          <t>vestibule=true, location=exterior</t>
        </is>
      </c>
    </row>
    <row r="14" ht="24" customHeight="1">
      <c r="A14" s="2" t="inlineStr">
        <is>
          <t>E-113</t>
        </is>
      </c>
      <c r="B14" s="3" t="inlineStr">
        <is>
          <t>Actuating portion width</t>
        </is>
      </c>
      <c r="C14" s="3" t="inlineStr">
        <is>
          <t>&lt; 1/2 door width</t>
        </is>
      </c>
      <c r="D14" s="3" t="inlineStr">
        <is>
          <t>Moderate</t>
        </is>
      </c>
      <c r="E14" s="3" t="inlineStr">
        <is>
          <t>ANSI/BHMA A156.3</t>
        </is>
      </c>
      <c r="F14" s="3" t="inlineStr">
        <is>
          <t>Specify panic device with pad/bar ≥ 1/2 door leaf width.</t>
        </is>
      </c>
      <c r="G14" s="3" t="inlineStr">
        <is>
          <t>panic_required=true</t>
        </is>
      </c>
    </row>
    <row r="15" ht="24" customHeight="1">
      <c r="A15" s="4" t="inlineStr">
        <is>
          <t>E-114</t>
        </is>
      </c>
      <c r="B15" s="5" t="inlineStr">
        <is>
          <t>Access control with panic hardware</t>
        </is>
      </c>
      <c r="C15" s="5" t="inlineStr">
        <is>
          <t>Improper combination</t>
        </is>
      </c>
      <c r="D15" s="5" t="inlineStr">
        <is>
          <t>Critical</t>
        </is>
      </c>
      <c r="E15" s="5" t="inlineStr">
        <is>
          <t>IBC / NFPA / ADA</t>
        </is>
      </c>
      <c r="F15" s="5" t="inlineStr">
        <is>
          <t>Provide electrified panic hardware listed for access control.</t>
        </is>
      </c>
      <c r="G15" s="5" t="inlineStr">
        <is>
          <t>panic_required=true, access_control=true</t>
        </is>
      </c>
    </row>
    <row r="16" ht="24" customHeight="1">
      <c r="A16" s="2" t="inlineStr">
        <is>
          <t>E-115</t>
        </is>
      </c>
      <c r="B16" s="3" t="inlineStr">
        <is>
          <t>Panic hardware with electric strike</t>
        </is>
      </c>
      <c r="C16" s="3" t="inlineStr">
        <is>
          <t>Improper configuration</t>
        </is>
      </c>
      <c r="D16" s="3" t="inlineStr">
        <is>
          <t>Moderate</t>
        </is>
      </c>
      <c r="E16" s="3" t="inlineStr">
        <is>
          <t>Field Practice (Non-Code)</t>
        </is>
      </c>
      <c r="F16" s="3" t="inlineStr">
        <is>
          <t>Replace with electrified exit device or latch retraction.</t>
        </is>
      </c>
      <c r="G16" s="3" t="inlineStr">
        <is>
          <t>panic_required=true</t>
        </is>
      </c>
    </row>
    <row r="17" ht="24" customHeight="1">
      <c r="A17" s="6">
        <f>IF(B17&lt;&gt;"","E-116","")</f>
        <v/>
      </c>
      <c r="B17" s="7" t="inlineStr"/>
      <c r="C17" s="7" t="inlineStr"/>
      <c r="D17" s="7" t="inlineStr"/>
      <c r="E17" s="7" t="inlineStr"/>
      <c r="F17" s="7" t="inlineStr"/>
      <c r="G17" s="7" t="inlineStr"/>
    </row>
    <row r="18" ht="24" customHeight="1">
      <c r="A18" s="6">
        <f>IF(B18&lt;&gt;"","E-117","")</f>
        <v/>
      </c>
      <c r="B18" s="7" t="inlineStr"/>
      <c r="C18" s="7" t="inlineStr"/>
      <c r="D18" s="7" t="inlineStr"/>
      <c r="E18" s="7" t="inlineStr"/>
      <c r="F18" s="7" t="inlineStr"/>
      <c r="G18" s="7" t="inlineStr"/>
    </row>
    <row r="19" ht="24" customHeight="1">
      <c r="A19" s="6">
        <f>IF(B19&lt;&gt;"","E-118","")</f>
        <v/>
      </c>
      <c r="B19" s="7" t="inlineStr"/>
      <c r="C19" s="7" t="inlineStr"/>
      <c r="D19" s="7" t="inlineStr"/>
      <c r="E19" s="7" t="inlineStr"/>
      <c r="F19" s="7" t="inlineStr"/>
      <c r="G19" s="7" t="inlineStr"/>
    </row>
    <row r="20" ht="24" customHeight="1">
      <c r="A20" s="6">
        <f>IF(B20&lt;&gt;"","E-119","")</f>
        <v/>
      </c>
      <c r="B20" s="7" t="inlineStr"/>
      <c r="C20" s="7" t="inlineStr"/>
      <c r="D20" s="7" t="inlineStr"/>
      <c r="E20" s="7" t="inlineStr"/>
      <c r="F20" s="7" t="inlineStr"/>
      <c r="G20" s="7" t="inlineStr"/>
    </row>
    <row r="21" ht="24" customHeight="1">
      <c r="A21" s="6">
        <f>IF(B21&lt;&gt;"","E-120","")</f>
        <v/>
      </c>
      <c r="B21" s="7" t="inlineStr"/>
      <c r="C21" s="7" t="inlineStr"/>
      <c r="D21" s="7" t="inlineStr"/>
      <c r="E21" s="7" t="inlineStr"/>
      <c r="F21" s="7" t="inlineStr"/>
      <c r="G21" s="7" t="inlineStr"/>
    </row>
    <row r="22" ht="24" customHeight="1">
      <c r="A22" s="6">
        <f>IF(B22&lt;&gt;"","E-121","")</f>
        <v/>
      </c>
      <c r="B22" s="7" t="inlineStr"/>
      <c r="C22" s="7" t="inlineStr"/>
      <c r="D22" s="7" t="inlineStr"/>
      <c r="E22" s="7" t="inlineStr"/>
      <c r="F22" s="7" t="inlineStr"/>
      <c r="G22" s="7" t="inlineStr"/>
    </row>
    <row r="23" ht="24" customHeight="1">
      <c r="A23" s="6">
        <f>IF(B23&lt;&gt;"","E-122","")</f>
        <v/>
      </c>
      <c r="B23" s="7" t="inlineStr"/>
      <c r="C23" s="7" t="inlineStr"/>
      <c r="D23" s="7" t="inlineStr"/>
      <c r="E23" s="7" t="inlineStr"/>
      <c r="F23" s="7" t="inlineStr"/>
      <c r="G23" s="7" t="inlineStr"/>
    </row>
    <row r="24" ht="24" customHeight="1">
      <c r="A24" s="6">
        <f>IF(B24&lt;&gt;"","E-123","")</f>
        <v/>
      </c>
      <c r="B24" s="7" t="inlineStr"/>
      <c r="C24" s="7" t="inlineStr"/>
      <c r="D24" s="7" t="inlineStr"/>
      <c r="E24" s="7" t="inlineStr"/>
      <c r="F24" s="7" t="inlineStr"/>
      <c r="G24" s="7" t="inlineStr"/>
    </row>
    <row r="25" ht="24" customHeight="1">
      <c r="A25" s="6">
        <f>IF(B25&lt;&gt;"","E-124","")</f>
        <v/>
      </c>
      <c r="B25" s="7" t="inlineStr"/>
      <c r="C25" s="7" t="inlineStr"/>
      <c r="D25" s="7" t="inlineStr"/>
      <c r="E25" s="7" t="inlineStr"/>
      <c r="F25" s="7" t="inlineStr"/>
      <c r="G25" s="7" t="inlineStr"/>
    </row>
    <row r="26" ht="24" customHeight="1">
      <c r="A26" s="6">
        <f>IF(B26&lt;&gt;"","E-125","")</f>
        <v/>
      </c>
      <c r="B26" s="7" t="inlineStr"/>
      <c r="C26" s="7" t="inlineStr"/>
      <c r="D26" s="7" t="inlineStr"/>
      <c r="E26" s="7" t="inlineStr"/>
      <c r="F26" s="7" t="inlineStr"/>
      <c r="G26" s="7" t="inlineStr"/>
    </row>
    <row r="27" ht="24" customHeight="1">
      <c r="A27" s="6">
        <f>IF(B27&lt;&gt;"","E-126","")</f>
        <v/>
      </c>
      <c r="B27" s="7" t="inlineStr"/>
      <c r="C27" s="7" t="inlineStr"/>
      <c r="D27" s="7" t="inlineStr"/>
      <c r="E27" s="7" t="inlineStr"/>
      <c r="F27" s="7" t="inlineStr"/>
      <c r="G27" s="7" t="inlineStr"/>
    </row>
    <row r="28" ht="24" customHeight="1">
      <c r="A28" s="6">
        <f>IF(B28&lt;&gt;"","E-127","")</f>
        <v/>
      </c>
      <c r="B28" s="7" t="inlineStr"/>
      <c r="C28" s="7" t="inlineStr"/>
      <c r="D28" s="7" t="inlineStr"/>
      <c r="E28" s="7" t="inlineStr"/>
      <c r="F28" s="7" t="inlineStr"/>
      <c r="G28" s="7" t="inlineStr"/>
    </row>
    <row r="29" ht="24" customHeight="1">
      <c r="A29" s="6">
        <f>IF(B29&lt;&gt;"","E-128","")</f>
        <v/>
      </c>
      <c r="B29" s="7" t="inlineStr"/>
      <c r="C29" s="7" t="inlineStr"/>
      <c r="D29" s="7" t="inlineStr"/>
      <c r="E29" s="7" t="inlineStr"/>
      <c r="F29" s="7" t="inlineStr"/>
      <c r="G29" s="7" t="inlineStr"/>
    </row>
    <row r="30" ht="24" customHeight="1">
      <c r="A30" s="6">
        <f>IF(B30&lt;&gt;"","E-129","")</f>
        <v/>
      </c>
      <c r="B30" s="7" t="inlineStr"/>
      <c r="C30" s="7" t="inlineStr"/>
      <c r="D30" s="7" t="inlineStr"/>
      <c r="E30" s="7" t="inlineStr"/>
      <c r="F30" s="7" t="inlineStr"/>
      <c r="G30" s="7" t="inlineStr"/>
    </row>
    <row r="31" ht="24" customHeight="1">
      <c r="A31" s="6">
        <f>IF(B31&lt;&gt;"","E-130","")</f>
        <v/>
      </c>
      <c r="B31" s="7" t="inlineStr"/>
      <c r="C31" s="7" t="inlineStr"/>
      <c r="D31" s="7" t="inlineStr"/>
      <c r="E31" s="7" t="inlineStr"/>
      <c r="F31" s="7" t="inlineStr"/>
      <c r="G31" s="7" t="inlineStr"/>
    </row>
    <row r="32" ht="24" customHeight="1">
      <c r="A32" s="6">
        <f>IF(B32&lt;&gt;"","E-131","")</f>
        <v/>
      </c>
      <c r="B32" s="7" t="inlineStr"/>
      <c r="C32" s="7" t="inlineStr"/>
      <c r="D32" s="7" t="inlineStr"/>
      <c r="E32" s="7" t="inlineStr"/>
      <c r="F32" s="7" t="inlineStr"/>
      <c r="G32" s="7" t="inlineStr"/>
    </row>
    <row r="33" ht="24" customHeight="1">
      <c r="A33" s="6">
        <f>IF(B33&lt;&gt;"","E-132","")</f>
        <v/>
      </c>
      <c r="B33" s="7" t="inlineStr"/>
      <c r="C33" s="7" t="inlineStr"/>
      <c r="D33" s="7" t="inlineStr"/>
      <c r="E33" s="7" t="inlineStr"/>
      <c r="F33" s="7" t="inlineStr"/>
      <c r="G33" s="7" t="inlineStr"/>
    </row>
    <row r="34" ht="24" customHeight="1">
      <c r="A34" s="6">
        <f>IF(B34&lt;&gt;"","E-133","")</f>
        <v/>
      </c>
      <c r="B34" s="7" t="inlineStr"/>
      <c r="C34" s="7" t="inlineStr"/>
      <c r="D34" s="7" t="inlineStr"/>
      <c r="E34" s="7" t="inlineStr"/>
      <c r="F34" s="7" t="inlineStr"/>
      <c r="G34" s="7" t="inlineStr"/>
    </row>
    <row r="35" ht="24" customHeight="1">
      <c r="A35" s="6">
        <f>IF(B35&lt;&gt;"","E-134","")</f>
        <v/>
      </c>
      <c r="B35" s="7" t="inlineStr"/>
      <c r="C35" s="7" t="inlineStr"/>
      <c r="D35" s="7" t="inlineStr"/>
      <c r="E35" s="7" t="inlineStr"/>
      <c r="F35" s="7" t="inlineStr"/>
      <c r="G35" s="7" t="inlineStr"/>
    </row>
    <row r="36" ht="24" customHeight="1">
      <c r="A36" s="6">
        <f>IF(B36&lt;&gt;"","E-135","")</f>
        <v/>
      </c>
      <c r="B36" s="7" t="inlineStr"/>
      <c r="C36" s="7" t="inlineStr"/>
      <c r="D36" s="7" t="inlineStr"/>
      <c r="E36" s="7" t="inlineStr"/>
      <c r="F36" s="7" t="inlineStr"/>
      <c r="G36" s="7" t="inlineStr"/>
    </row>
    <row r="37" ht="24" customHeight="1"/>
  </sheetData>
  <dataValidations count="2">
    <dataValidation sqref="D2:D37" showDropDown="0" showInputMessage="0" showErrorMessage="0" allowBlank="1" errorTitle="Invalid Severity" error="Pick a severity level" promptTitle="Severity" prompt="Select severity" type="list">
      <formula1>"Critical,Warning,Advisory,Info"</formula1>
    </dataValidation>
    <dataValidation sqref="G2:G37" showDropDown="0" showInputMessage="0" showErrorMessage="0" allowBlank="1" errorTitle="Trigger" error="Pick a trigger or type your own" promptTitle="When To Apply" prompt="Select when this rule applies" type="list">
      <formula1>"egress=true,ada_required=true,fire_rated=true,auto_operator=true,access_control=true,panic_required=true,vestibule=true,location=exterior,location=interior,state=MA,glazing=true"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2" customWidth="1" min="4" max="4"/>
    <col width="18" customWidth="1" min="5" max="5"/>
    <col width="40" customWidth="1" min="6" max="6"/>
    <col width="30" customWidth="1" min="7" max="7"/>
  </cols>
  <sheetData>
    <row r="1" ht="28" customHeight="1">
      <c r="A1" s="10" t="inlineStr">
        <is>
          <t>Rule ID</t>
        </is>
      </c>
      <c r="B1" s="10" t="inlineStr">
        <is>
          <t>What To Check</t>
        </is>
      </c>
      <c r="C1" s="10" t="inlineStr">
        <is>
          <t>Fail When</t>
        </is>
      </c>
      <c r="D1" s="10" t="inlineStr">
        <is>
          <t>Severity</t>
        </is>
      </c>
      <c r="E1" s="10" t="inlineStr">
        <is>
          <t>Code Ref</t>
        </is>
      </c>
      <c r="F1" s="10" t="inlineStr">
        <is>
          <t>How To Fix</t>
        </is>
      </c>
      <c r="G1" s="10" t="inlineStr">
        <is>
          <t>When To Apply</t>
        </is>
      </c>
    </row>
    <row r="2" ht="24" customHeight="1">
      <c r="A2" s="2" t="inlineStr">
        <is>
          <t>O-101</t>
        </is>
      </c>
      <c r="B2" s="3" t="inlineStr">
        <is>
          <t>Door with Auto Operator</t>
        </is>
      </c>
      <c r="C2" s="3" t="inlineStr">
        <is>
          <t>Not Shown</t>
        </is>
      </c>
      <c r="D2" s="3" t="inlineStr">
        <is>
          <t>Moderate</t>
        </is>
      </c>
      <c r="E2" s="3" t="inlineStr">
        <is>
          <t>ADA 404</t>
        </is>
      </c>
      <c r="F2" s="3" t="inlineStr">
        <is>
          <t>Coordinate power, sensors, push plates, and clearances.</t>
        </is>
      </c>
      <c r="G2" s="3" t="inlineStr">
        <is>
          <t>auto_operator=true</t>
        </is>
      </c>
    </row>
    <row r="3" ht="24" customHeight="1">
      <c r="A3" s="4" t="inlineStr">
        <is>
          <t>O-102</t>
        </is>
      </c>
      <c r="B3" s="5" t="inlineStr">
        <is>
          <t>Door closer + operator conflict</t>
        </is>
      </c>
      <c r="C3" s="5" t="inlineStr">
        <is>
          <t>Unbalanced opening force</t>
        </is>
      </c>
      <c r="D3" s="5" t="inlineStr">
        <is>
          <t>Moderate</t>
        </is>
      </c>
      <c r="E3" s="5" t="inlineStr">
        <is>
          <t>ADA / Field Practice</t>
        </is>
      </c>
      <c r="F3" s="5" t="inlineStr">
        <is>
          <t>Adjust closer spring size or operator settings.</t>
        </is>
      </c>
      <c r="G3" s="5" t="inlineStr">
        <is>
          <t>auto_operator=true</t>
        </is>
      </c>
    </row>
    <row r="4" ht="24" customHeight="1">
      <c r="A4" s="2" t="inlineStr">
        <is>
          <t>O-103</t>
        </is>
      </c>
      <c r="B4" s="3" t="inlineStr">
        <is>
          <t>Air pressure across door</t>
        </is>
      </c>
      <c r="C4" s="3" t="inlineStr">
        <is>
          <t>Prevents proper closing</t>
        </is>
      </c>
      <c r="D4" s="3" t="inlineStr">
        <is>
          <t>Moderate</t>
        </is>
      </c>
      <c r="E4" s="3" t="inlineStr">
        <is>
          <t>Field Practice (Non-Code)</t>
        </is>
      </c>
      <c r="F4" s="3" t="inlineStr">
        <is>
          <t>Rebalance HVAC pressure or upgrade closer.</t>
        </is>
      </c>
      <c r="G4" s="3" t="inlineStr">
        <is>
          <t>auto_operator=true</t>
        </is>
      </c>
    </row>
    <row r="5" ht="24" customHeight="1">
      <c r="A5" s="4" t="inlineStr">
        <is>
          <t>O-104</t>
        </is>
      </c>
      <c r="B5" s="5" t="inlineStr">
        <is>
          <t>Door does not fully close or latch</t>
        </is>
      </c>
      <c r="C5" s="5" t="inlineStr">
        <is>
          <t>Present</t>
        </is>
      </c>
      <c r="D5" s="5" t="inlineStr">
        <is>
          <t>Critical</t>
        </is>
      </c>
      <c r="E5" s="5" t="inlineStr">
        <is>
          <t>NFPA 80 / IBC</t>
        </is>
      </c>
      <c r="F5" s="5" t="inlineStr">
        <is>
          <t>Increase closer strength or adjust air balance.</t>
        </is>
      </c>
      <c r="G5" s="5" t="inlineStr">
        <is>
          <t>auto_operator=true</t>
        </is>
      </c>
    </row>
    <row r="6" ht="24" customHeight="1">
      <c r="A6" s="6">
        <f>IF(B6&lt;&gt;"","O-105","")</f>
        <v/>
      </c>
      <c r="B6" s="7" t="inlineStr"/>
      <c r="C6" s="7" t="inlineStr"/>
      <c r="D6" s="7" t="inlineStr"/>
      <c r="E6" s="7" t="inlineStr"/>
      <c r="F6" s="7" t="inlineStr"/>
      <c r="G6" s="7" t="inlineStr"/>
    </row>
    <row r="7" ht="24" customHeight="1">
      <c r="A7" s="6">
        <f>IF(B7&lt;&gt;"","O-106","")</f>
        <v/>
      </c>
      <c r="B7" s="7" t="inlineStr"/>
      <c r="C7" s="7" t="inlineStr"/>
      <c r="D7" s="7" t="inlineStr"/>
      <c r="E7" s="7" t="inlineStr"/>
      <c r="F7" s="7" t="inlineStr"/>
      <c r="G7" s="7" t="inlineStr"/>
    </row>
    <row r="8" ht="24" customHeight="1">
      <c r="A8" s="6">
        <f>IF(B8&lt;&gt;"","O-107","")</f>
        <v/>
      </c>
      <c r="B8" s="7" t="inlineStr"/>
      <c r="C8" s="7" t="inlineStr"/>
      <c r="D8" s="7" t="inlineStr"/>
      <c r="E8" s="7" t="inlineStr"/>
      <c r="F8" s="7" t="inlineStr"/>
      <c r="G8" s="7" t="inlineStr"/>
    </row>
    <row r="9" ht="24" customHeight="1">
      <c r="A9" s="6">
        <f>IF(B9&lt;&gt;"","O-108","")</f>
        <v/>
      </c>
      <c r="B9" s="7" t="inlineStr"/>
      <c r="C9" s="7" t="inlineStr"/>
      <c r="D9" s="7" t="inlineStr"/>
      <c r="E9" s="7" t="inlineStr"/>
      <c r="F9" s="7" t="inlineStr"/>
      <c r="G9" s="7" t="inlineStr"/>
    </row>
    <row r="10" ht="24" customHeight="1">
      <c r="A10" s="6">
        <f>IF(B10&lt;&gt;"","O-109","")</f>
        <v/>
      </c>
      <c r="B10" s="7" t="inlineStr"/>
      <c r="C10" s="7" t="inlineStr"/>
      <c r="D10" s="7" t="inlineStr"/>
      <c r="E10" s="7" t="inlineStr"/>
      <c r="F10" s="7" t="inlineStr"/>
      <c r="G10" s="7" t="inlineStr"/>
    </row>
    <row r="11" ht="24" customHeight="1">
      <c r="A11" s="6">
        <f>IF(B11&lt;&gt;"","O-110","")</f>
        <v/>
      </c>
      <c r="B11" s="7" t="inlineStr"/>
      <c r="C11" s="7" t="inlineStr"/>
      <c r="D11" s="7" t="inlineStr"/>
      <c r="E11" s="7" t="inlineStr"/>
      <c r="F11" s="7" t="inlineStr"/>
      <c r="G11" s="7" t="inlineStr"/>
    </row>
    <row r="12" ht="24" customHeight="1">
      <c r="A12" s="6">
        <f>IF(B12&lt;&gt;"","O-111","")</f>
        <v/>
      </c>
      <c r="B12" s="7" t="inlineStr"/>
      <c r="C12" s="7" t="inlineStr"/>
      <c r="D12" s="7" t="inlineStr"/>
      <c r="E12" s="7" t="inlineStr"/>
      <c r="F12" s="7" t="inlineStr"/>
      <c r="G12" s="7" t="inlineStr"/>
    </row>
    <row r="13" ht="24" customHeight="1">
      <c r="A13" s="6">
        <f>IF(B13&lt;&gt;"","O-112","")</f>
        <v/>
      </c>
      <c r="B13" s="7" t="inlineStr"/>
      <c r="C13" s="7" t="inlineStr"/>
      <c r="D13" s="7" t="inlineStr"/>
      <c r="E13" s="7" t="inlineStr"/>
      <c r="F13" s="7" t="inlineStr"/>
      <c r="G13" s="7" t="inlineStr"/>
    </row>
    <row r="14" ht="24" customHeight="1">
      <c r="A14" s="6">
        <f>IF(B14&lt;&gt;"","O-113","")</f>
        <v/>
      </c>
      <c r="B14" s="7" t="inlineStr"/>
      <c r="C14" s="7" t="inlineStr"/>
      <c r="D14" s="7" t="inlineStr"/>
      <c r="E14" s="7" t="inlineStr"/>
      <c r="F14" s="7" t="inlineStr"/>
      <c r="G14" s="7" t="inlineStr"/>
    </row>
    <row r="15" ht="24" customHeight="1">
      <c r="A15" s="6">
        <f>IF(B15&lt;&gt;"","O-114","")</f>
        <v/>
      </c>
      <c r="B15" s="7" t="inlineStr"/>
      <c r="C15" s="7" t="inlineStr"/>
      <c r="D15" s="7" t="inlineStr"/>
      <c r="E15" s="7" t="inlineStr"/>
      <c r="F15" s="7" t="inlineStr"/>
      <c r="G15" s="7" t="inlineStr"/>
    </row>
    <row r="16" ht="24" customHeight="1">
      <c r="A16" s="6">
        <f>IF(B16&lt;&gt;"","O-115","")</f>
        <v/>
      </c>
      <c r="B16" s="7" t="inlineStr"/>
      <c r="C16" s="7" t="inlineStr"/>
      <c r="D16" s="7" t="inlineStr"/>
      <c r="E16" s="7" t="inlineStr"/>
      <c r="F16" s="7" t="inlineStr"/>
      <c r="G16" s="7" t="inlineStr"/>
    </row>
    <row r="17" ht="24" customHeight="1">
      <c r="A17" s="6">
        <f>IF(B17&lt;&gt;"","O-116","")</f>
        <v/>
      </c>
      <c r="B17" s="7" t="inlineStr"/>
      <c r="C17" s="7" t="inlineStr"/>
      <c r="D17" s="7" t="inlineStr"/>
      <c r="E17" s="7" t="inlineStr"/>
      <c r="F17" s="7" t="inlineStr"/>
      <c r="G17" s="7" t="inlineStr"/>
    </row>
    <row r="18" ht="24" customHeight="1">
      <c r="A18" s="6">
        <f>IF(B18&lt;&gt;"","O-117","")</f>
        <v/>
      </c>
      <c r="B18" s="7" t="inlineStr"/>
      <c r="C18" s="7" t="inlineStr"/>
      <c r="D18" s="7" t="inlineStr"/>
      <c r="E18" s="7" t="inlineStr"/>
      <c r="F18" s="7" t="inlineStr"/>
      <c r="G18" s="7" t="inlineStr"/>
    </row>
    <row r="19" ht="24" customHeight="1">
      <c r="A19" s="6">
        <f>IF(B19&lt;&gt;"","O-118","")</f>
        <v/>
      </c>
      <c r="B19" s="7" t="inlineStr"/>
      <c r="C19" s="7" t="inlineStr"/>
      <c r="D19" s="7" t="inlineStr"/>
      <c r="E19" s="7" t="inlineStr"/>
      <c r="F19" s="7" t="inlineStr"/>
      <c r="G19" s="7" t="inlineStr"/>
    </row>
    <row r="20" ht="24" customHeight="1">
      <c r="A20" s="6">
        <f>IF(B20&lt;&gt;"","O-119","")</f>
        <v/>
      </c>
      <c r="B20" s="7" t="inlineStr"/>
      <c r="C20" s="7" t="inlineStr"/>
      <c r="D20" s="7" t="inlineStr"/>
      <c r="E20" s="7" t="inlineStr"/>
      <c r="F20" s="7" t="inlineStr"/>
      <c r="G20" s="7" t="inlineStr"/>
    </row>
    <row r="21" ht="24" customHeight="1">
      <c r="A21" s="6">
        <f>IF(B21&lt;&gt;"","O-120","")</f>
        <v/>
      </c>
      <c r="B21" s="7" t="inlineStr"/>
      <c r="C21" s="7" t="inlineStr"/>
      <c r="D21" s="7" t="inlineStr"/>
      <c r="E21" s="7" t="inlineStr"/>
      <c r="F21" s="7" t="inlineStr"/>
      <c r="G21" s="7" t="inlineStr"/>
    </row>
    <row r="22" ht="24" customHeight="1">
      <c r="A22" s="6">
        <f>IF(B22&lt;&gt;"","O-121","")</f>
        <v/>
      </c>
      <c r="B22" s="7" t="inlineStr"/>
      <c r="C22" s="7" t="inlineStr"/>
      <c r="D22" s="7" t="inlineStr"/>
      <c r="E22" s="7" t="inlineStr"/>
      <c r="F22" s="7" t="inlineStr"/>
      <c r="G22" s="7" t="inlineStr"/>
    </row>
    <row r="23" ht="24" customHeight="1">
      <c r="A23" s="6">
        <f>IF(B23&lt;&gt;"","O-122","")</f>
        <v/>
      </c>
      <c r="B23" s="7" t="inlineStr"/>
      <c r="C23" s="7" t="inlineStr"/>
      <c r="D23" s="7" t="inlineStr"/>
      <c r="E23" s="7" t="inlineStr"/>
      <c r="F23" s="7" t="inlineStr"/>
      <c r="G23" s="7" t="inlineStr"/>
    </row>
    <row r="24" ht="24" customHeight="1">
      <c r="A24" s="6">
        <f>IF(B24&lt;&gt;"","O-123","")</f>
        <v/>
      </c>
      <c r="B24" s="7" t="inlineStr"/>
      <c r="C24" s="7" t="inlineStr"/>
      <c r="D24" s="7" t="inlineStr"/>
      <c r="E24" s="7" t="inlineStr"/>
      <c r="F24" s="7" t="inlineStr"/>
      <c r="G24" s="7" t="inlineStr"/>
    </row>
    <row r="25" ht="24" customHeight="1">
      <c r="A25" s="6">
        <f>IF(B25&lt;&gt;"","O-124","")</f>
        <v/>
      </c>
      <c r="B25" s="7" t="inlineStr"/>
      <c r="C25" s="7" t="inlineStr"/>
      <c r="D25" s="7" t="inlineStr"/>
      <c r="E25" s="7" t="inlineStr"/>
      <c r="F25" s="7" t="inlineStr"/>
      <c r="G25" s="7" t="inlineStr"/>
    </row>
    <row r="26" ht="24" customHeight="1"/>
  </sheetData>
  <dataValidations count="2">
    <dataValidation sqref="D2:D26" showDropDown="0" showInputMessage="0" showErrorMessage="0" allowBlank="1" errorTitle="Invalid Severity" error="Pick a severity level" promptTitle="Severity" prompt="Select severity" type="list">
      <formula1>"Critical,Warning,Advisory,Info"</formula1>
    </dataValidation>
    <dataValidation sqref="G2:G26" showDropDown="0" showInputMessage="0" showErrorMessage="0" allowBlank="1" errorTitle="Trigger" error="Pick a trigger or type your own" promptTitle="When To Apply" prompt="Select when this rule applies" type="list">
      <formula1>"egress=true,ada_required=true,fire_rated=true,auto_operator=true,access_control=true,panic_required=true,vestibule=true,location=exterior,location=interior,state=MA,glazing=true"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2" customWidth="1" min="4" max="4"/>
    <col width="18" customWidth="1" min="5" max="5"/>
    <col width="40" customWidth="1" min="6" max="6"/>
    <col width="30" customWidth="1" min="7" max="7"/>
  </cols>
  <sheetData>
    <row r="1" ht="28" customHeight="1">
      <c r="A1" s="11" t="inlineStr">
        <is>
          <t>Rule ID</t>
        </is>
      </c>
      <c r="B1" s="11" t="inlineStr">
        <is>
          <t>What To Check</t>
        </is>
      </c>
      <c r="C1" s="11" t="inlineStr">
        <is>
          <t>Fail When</t>
        </is>
      </c>
      <c r="D1" s="11" t="inlineStr">
        <is>
          <t>Severity</t>
        </is>
      </c>
      <c r="E1" s="11" t="inlineStr">
        <is>
          <t>Code Ref</t>
        </is>
      </c>
      <c r="F1" s="11" t="inlineStr">
        <is>
          <t>How To Fix</t>
        </is>
      </c>
      <c r="G1" s="11" t="inlineStr">
        <is>
          <t>When To Apply</t>
        </is>
      </c>
    </row>
    <row r="2" ht="24" customHeight="1">
      <c r="A2" s="2" t="inlineStr">
        <is>
          <t>H-101</t>
        </is>
      </c>
      <c r="B2" s="3" t="inlineStr">
        <is>
          <t>Vestibule Condition</t>
        </is>
      </c>
      <c r="C2" s="3" t="inlineStr">
        <is>
          <t>Not Shown</t>
        </is>
      </c>
      <c r="D2" s="3" t="inlineStr">
        <is>
          <t>Advisory</t>
        </is>
      </c>
      <c r="E2" s="3" t="inlineStr">
        <is>
          <t>Field Practice (Non-Code)</t>
        </is>
      </c>
      <c r="F2" s="3" t="inlineStr">
        <is>
          <t>Exterior doors latch; interior doors handle access control.</t>
        </is>
      </c>
      <c r="G2" s="3" t="inlineStr">
        <is>
          <t>vestibule=true</t>
        </is>
      </c>
    </row>
    <row r="3" ht="24" customHeight="1">
      <c r="A3" s="4" t="inlineStr">
        <is>
          <t>H-102</t>
        </is>
      </c>
      <c r="B3" s="5" t="inlineStr">
        <is>
          <t>Exterior Door</t>
        </is>
      </c>
      <c r="C3" s="5" t="inlineStr">
        <is>
          <t>Not Shown</t>
        </is>
      </c>
      <c r="D3" s="5" t="inlineStr">
        <is>
          <t>Advisory</t>
        </is>
      </c>
      <c r="E3" s="5" t="inlineStr">
        <is>
          <t>Field Practice (Non-Code)</t>
        </is>
      </c>
      <c r="F3" s="5" t="inlineStr">
        <is>
          <t>Provide latching hardware even in vestibule conditions.</t>
        </is>
      </c>
      <c r="G3" s="5" t="inlineStr">
        <is>
          <t>location=exterior</t>
        </is>
      </c>
    </row>
    <row r="4" ht="24" customHeight="1">
      <c r="A4" s="2" t="inlineStr">
        <is>
          <t>H-103</t>
        </is>
      </c>
      <c r="B4" s="3" t="inlineStr">
        <is>
          <t>Door with Access Control</t>
        </is>
      </c>
      <c r="C4" s="3" t="inlineStr">
        <is>
          <t>Not Shown</t>
        </is>
      </c>
      <c r="D4" s="3" t="inlineStr">
        <is>
          <t>Warning</t>
        </is>
      </c>
      <c r="E4" s="3" t="inlineStr">
        <is>
          <t>Field Practice (Non-Code)</t>
        </is>
      </c>
      <c r="F4" s="3" t="inlineStr">
        <is>
          <t>Complete hardware schedule.</t>
        </is>
      </c>
      <c r="G4" s="3" t="inlineStr">
        <is>
          <t>access_control=true</t>
        </is>
      </c>
    </row>
    <row r="5" ht="24" customHeight="1">
      <c r="A5" s="4" t="inlineStr">
        <is>
          <t>H-104</t>
        </is>
      </c>
      <c r="B5" s="5" t="inlineStr">
        <is>
          <t>Hardware set incomplete</t>
        </is>
      </c>
      <c r="C5" s="5" t="inlineStr">
        <is>
          <t>Not fully specified</t>
        </is>
      </c>
      <c r="D5" s="5" t="inlineStr">
        <is>
          <t>Warning</t>
        </is>
      </c>
      <c r="E5" s="5" t="inlineStr">
        <is>
          <t>Field Practice (Non-Code)</t>
        </is>
      </c>
      <c r="F5" s="5" t="inlineStr">
        <is>
          <t>Complete hardware set.</t>
        </is>
      </c>
      <c r="G5" s="5" t="inlineStr"/>
    </row>
    <row r="6" ht="24" customHeight="1">
      <c r="A6" s="2" t="inlineStr">
        <is>
          <t>H-105</t>
        </is>
      </c>
      <c r="B6" s="3" t="inlineStr">
        <is>
          <t>Hardware model number function</t>
        </is>
      </c>
      <c r="C6" s="3" t="inlineStr">
        <is>
          <t>Function compliance</t>
        </is>
      </c>
      <c r="D6" s="3" t="inlineStr">
        <is>
          <t>Warning</t>
        </is>
      </c>
      <c r="E6" s="3" t="inlineStr">
        <is>
          <t>Field Practice (Non-Code)</t>
        </is>
      </c>
      <c r="F6" s="3" t="inlineStr">
        <is>
          <t>Provide alternate function</t>
        </is>
      </c>
      <c r="G6" s="3" t="inlineStr"/>
    </row>
    <row r="7" ht="24" customHeight="1">
      <c r="A7" s="6">
        <f>IF(B7&lt;&gt;"","H-106","")</f>
        <v/>
      </c>
      <c r="B7" s="7" t="inlineStr"/>
      <c r="C7" s="7" t="inlineStr"/>
      <c r="D7" s="7" t="inlineStr"/>
      <c r="E7" s="7" t="inlineStr"/>
      <c r="F7" s="7" t="inlineStr"/>
      <c r="G7" s="7" t="inlineStr"/>
    </row>
    <row r="8" ht="24" customHeight="1">
      <c r="A8" s="6">
        <f>IF(B8&lt;&gt;"","H-107","")</f>
        <v/>
      </c>
      <c r="B8" s="7" t="inlineStr"/>
      <c r="C8" s="7" t="inlineStr"/>
      <c r="D8" s="7" t="inlineStr"/>
      <c r="E8" s="7" t="inlineStr"/>
      <c r="F8" s="7" t="inlineStr"/>
      <c r="G8" s="7" t="inlineStr"/>
    </row>
    <row r="9" ht="24" customHeight="1">
      <c r="A9" s="6">
        <f>IF(B9&lt;&gt;"","H-108","")</f>
        <v/>
      </c>
      <c r="B9" s="7" t="inlineStr"/>
      <c r="C9" s="7" t="inlineStr"/>
      <c r="D9" s="7" t="inlineStr"/>
      <c r="E9" s="7" t="inlineStr"/>
      <c r="F9" s="7" t="inlineStr"/>
      <c r="G9" s="7" t="inlineStr"/>
    </row>
    <row r="10" ht="24" customHeight="1">
      <c r="A10" s="6">
        <f>IF(B10&lt;&gt;"","H-109","")</f>
        <v/>
      </c>
      <c r="B10" s="7" t="inlineStr"/>
      <c r="C10" s="7" t="inlineStr"/>
      <c r="D10" s="7" t="inlineStr"/>
      <c r="E10" s="7" t="inlineStr"/>
      <c r="F10" s="7" t="inlineStr"/>
      <c r="G10" s="7" t="inlineStr"/>
    </row>
    <row r="11" ht="24" customHeight="1">
      <c r="A11" s="6">
        <f>IF(B11&lt;&gt;"","H-110","")</f>
        <v/>
      </c>
      <c r="B11" s="7" t="inlineStr"/>
      <c r="C11" s="7" t="inlineStr"/>
      <c r="D11" s="7" t="inlineStr"/>
      <c r="E11" s="7" t="inlineStr"/>
      <c r="F11" s="7" t="inlineStr"/>
      <c r="G11" s="7" t="inlineStr"/>
    </row>
    <row r="12" ht="24" customHeight="1">
      <c r="A12" s="6">
        <f>IF(B12&lt;&gt;"","H-111","")</f>
        <v/>
      </c>
      <c r="B12" s="7" t="inlineStr"/>
      <c r="C12" s="7" t="inlineStr"/>
      <c r="D12" s="7" t="inlineStr"/>
      <c r="E12" s="7" t="inlineStr"/>
      <c r="F12" s="7" t="inlineStr"/>
      <c r="G12" s="7" t="inlineStr"/>
    </row>
    <row r="13" ht="24" customHeight="1">
      <c r="A13" s="6">
        <f>IF(B13&lt;&gt;"","H-112","")</f>
        <v/>
      </c>
      <c r="B13" s="7" t="inlineStr"/>
      <c r="C13" s="7" t="inlineStr"/>
      <c r="D13" s="7" t="inlineStr"/>
      <c r="E13" s="7" t="inlineStr"/>
      <c r="F13" s="7" t="inlineStr"/>
      <c r="G13" s="7" t="inlineStr"/>
    </row>
    <row r="14" ht="24" customHeight="1">
      <c r="A14" s="6">
        <f>IF(B14&lt;&gt;"","H-113","")</f>
        <v/>
      </c>
      <c r="B14" s="7" t="inlineStr"/>
      <c r="C14" s="7" t="inlineStr"/>
      <c r="D14" s="7" t="inlineStr"/>
      <c r="E14" s="7" t="inlineStr"/>
      <c r="F14" s="7" t="inlineStr"/>
      <c r="G14" s="7" t="inlineStr"/>
    </row>
    <row r="15" ht="24" customHeight="1">
      <c r="A15" s="6">
        <f>IF(B15&lt;&gt;"","H-114","")</f>
        <v/>
      </c>
      <c r="B15" s="7" t="inlineStr"/>
      <c r="C15" s="7" t="inlineStr"/>
      <c r="D15" s="7" t="inlineStr"/>
      <c r="E15" s="7" t="inlineStr"/>
      <c r="F15" s="7" t="inlineStr"/>
      <c r="G15" s="7" t="inlineStr"/>
    </row>
    <row r="16" ht="24" customHeight="1">
      <c r="A16" s="6">
        <f>IF(B16&lt;&gt;"","H-115","")</f>
        <v/>
      </c>
      <c r="B16" s="7" t="inlineStr"/>
      <c r="C16" s="7" t="inlineStr"/>
      <c r="D16" s="7" t="inlineStr"/>
      <c r="E16" s="7" t="inlineStr"/>
      <c r="F16" s="7" t="inlineStr"/>
      <c r="G16" s="7" t="inlineStr"/>
    </row>
    <row r="17" ht="24" customHeight="1">
      <c r="A17" s="6">
        <f>IF(B17&lt;&gt;"","H-116","")</f>
        <v/>
      </c>
      <c r="B17" s="7" t="inlineStr"/>
      <c r="C17" s="7" t="inlineStr"/>
      <c r="D17" s="7" t="inlineStr"/>
      <c r="E17" s="7" t="inlineStr"/>
      <c r="F17" s="7" t="inlineStr"/>
      <c r="G17" s="7" t="inlineStr"/>
    </row>
    <row r="18" ht="24" customHeight="1">
      <c r="A18" s="6">
        <f>IF(B18&lt;&gt;"","H-117","")</f>
        <v/>
      </c>
      <c r="B18" s="7" t="inlineStr"/>
      <c r="C18" s="7" t="inlineStr"/>
      <c r="D18" s="7" t="inlineStr"/>
      <c r="E18" s="7" t="inlineStr"/>
      <c r="F18" s="7" t="inlineStr"/>
      <c r="G18" s="7" t="inlineStr"/>
    </row>
    <row r="19" ht="24" customHeight="1">
      <c r="A19" s="6">
        <f>IF(B19&lt;&gt;"","H-118","")</f>
        <v/>
      </c>
      <c r="B19" s="7" t="inlineStr"/>
      <c r="C19" s="7" t="inlineStr"/>
      <c r="D19" s="7" t="inlineStr"/>
      <c r="E19" s="7" t="inlineStr"/>
      <c r="F19" s="7" t="inlineStr"/>
      <c r="G19" s="7" t="inlineStr"/>
    </row>
    <row r="20" ht="24" customHeight="1">
      <c r="A20" s="6">
        <f>IF(B20&lt;&gt;"","H-119","")</f>
        <v/>
      </c>
      <c r="B20" s="7" t="inlineStr"/>
      <c r="C20" s="7" t="inlineStr"/>
      <c r="D20" s="7" t="inlineStr"/>
      <c r="E20" s="7" t="inlineStr"/>
      <c r="F20" s="7" t="inlineStr"/>
      <c r="G20" s="7" t="inlineStr"/>
    </row>
    <row r="21" ht="24" customHeight="1">
      <c r="A21" s="6">
        <f>IF(B21&lt;&gt;"","H-120","")</f>
        <v/>
      </c>
      <c r="B21" s="7" t="inlineStr"/>
      <c r="C21" s="7" t="inlineStr"/>
      <c r="D21" s="7" t="inlineStr"/>
      <c r="E21" s="7" t="inlineStr"/>
      <c r="F21" s="7" t="inlineStr"/>
      <c r="G21" s="7" t="inlineStr"/>
    </row>
    <row r="22" ht="24" customHeight="1">
      <c r="A22" s="6">
        <f>IF(B22&lt;&gt;"","H-121","")</f>
        <v/>
      </c>
      <c r="B22" s="7" t="inlineStr"/>
      <c r="C22" s="7" t="inlineStr"/>
      <c r="D22" s="7" t="inlineStr"/>
      <c r="E22" s="7" t="inlineStr"/>
      <c r="F22" s="7" t="inlineStr"/>
      <c r="G22" s="7" t="inlineStr"/>
    </row>
    <row r="23" ht="24" customHeight="1">
      <c r="A23" s="6">
        <f>IF(B23&lt;&gt;"","H-122","")</f>
        <v/>
      </c>
      <c r="B23" s="7" t="inlineStr"/>
      <c r="C23" s="7" t="inlineStr"/>
      <c r="D23" s="7" t="inlineStr"/>
      <c r="E23" s="7" t="inlineStr"/>
      <c r="F23" s="7" t="inlineStr"/>
      <c r="G23" s="7" t="inlineStr"/>
    </row>
    <row r="24" ht="24" customHeight="1">
      <c r="A24" s="6">
        <f>IF(B24&lt;&gt;"","H-123","")</f>
        <v/>
      </c>
      <c r="B24" s="7" t="inlineStr"/>
      <c r="C24" s="7" t="inlineStr"/>
      <c r="D24" s="7" t="inlineStr"/>
      <c r="E24" s="7" t="inlineStr"/>
      <c r="F24" s="7" t="inlineStr"/>
      <c r="G24" s="7" t="inlineStr"/>
    </row>
    <row r="25" ht="24" customHeight="1">
      <c r="A25" s="6">
        <f>IF(B25&lt;&gt;"","H-124","")</f>
        <v/>
      </c>
      <c r="B25" s="7" t="inlineStr"/>
      <c r="C25" s="7" t="inlineStr"/>
      <c r="D25" s="7" t="inlineStr"/>
      <c r="E25" s="7" t="inlineStr"/>
      <c r="F25" s="7" t="inlineStr"/>
      <c r="G25" s="7" t="inlineStr"/>
    </row>
    <row r="26" ht="24" customHeight="1">
      <c r="A26" s="6">
        <f>IF(B26&lt;&gt;"","H-125","")</f>
        <v/>
      </c>
      <c r="B26" s="7" t="inlineStr"/>
      <c r="C26" s="7" t="inlineStr"/>
      <c r="D26" s="7" t="inlineStr"/>
      <c r="E26" s="7" t="inlineStr"/>
      <c r="F26" s="7" t="inlineStr"/>
      <c r="G26" s="7" t="inlineStr"/>
    </row>
    <row r="27" ht="24" customHeight="1"/>
  </sheetData>
  <dataValidations count="2">
    <dataValidation sqref="D2:D27" showDropDown="0" showInputMessage="0" showErrorMessage="0" allowBlank="1" errorTitle="Invalid Severity" error="Pick a severity level" promptTitle="Severity" prompt="Select severity" type="list">
      <formula1>"Critical,Warning,Advisory,Info"</formula1>
    </dataValidation>
    <dataValidation sqref="G2:G27" showDropDown="0" showInputMessage="0" showErrorMessage="0" allowBlank="1" errorTitle="Trigger" error="Pick a trigger or type your own" promptTitle="When To Apply" prompt="Select when this rule applies" type="list">
      <formula1>"egress=true,ada_required=true,fire_rated=true,auto_operator=true,access_control=true,panic_required=true,vestibule=true,location=exterior,location=interior,state=MA,glazing=true"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2" customWidth="1" min="4" max="4"/>
    <col width="18" customWidth="1" min="5" max="5"/>
    <col width="40" customWidth="1" min="6" max="6"/>
    <col width="30" customWidth="1" min="7" max="7"/>
  </cols>
  <sheetData>
    <row r="1" ht="28" customHeight="1">
      <c r="A1" s="12" t="inlineStr">
        <is>
          <t>Rule ID</t>
        </is>
      </c>
      <c r="B1" s="12" t="inlineStr">
        <is>
          <t>What To Check</t>
        </is>
      </c>
      <c r="C1" s="12" t="inlineStr">
        <is>
          <t>Fail When</t>
        </is>
      </c>
      <c r="D1" s="12" t="inlineStr">
        <is>
          <t>Severity</t>
        </is>
      </c>
      <c r="E1" s="12" t="inlineStr">
        <is>
          <t>Code Ref</t>
        </is>
      </c>
      <c r="F1" s="12" t="inlineStr">
        <is>
          <t>How To Fix</t>
        </is>
      </c>
      <c r="G1" s="12" t="inlineStr">
        <is>
          <t>When To Apply</t>
        </is>
      </c>
    </row>
    <row r="2" ht="24" customHeight="1">
      <c r="A2" s="2" t="inlineStr">
        <is>
          <t>R-005</t>
        </is>
      </c>
      <c r="B2" s="3" t="inlineStr">
        <is>
          <t>Door with Auto Operator</t>
        </is>
      </c>
      <c r="C2" s="3" t="inlineStr">
        <is>
          <t>&lt; 80"</t>
        </is>
      </c>
      <c r="D2" s="3" t="inlineStr">
        <is>
          <t>Moderate</t>
        </is>
      </c>
      <c r="E2" s="3" t="inlineStr">
        <is>
          <t>MA 780 CMR</t>
        </is>
      </c>
      <c r="F2" s="3" t="inlineStr">
        <is>
          <t>Raise closer to minimum 80" AFF to lowest component.</t>
        </is>
      </c>
      <c r="G2" s="3" t="inlineStr">
        <is>
          <t>state=MA, auto_operator=true</t>
        </is>
      </c>
    </row>
    <row r="3" ht="24" customHeight="1">
      <c r="A3" s="4" t="inlineStr">
        <is>
          <t>R-013</t>
        </is>
      </c>
      <c r="B3" s="5" t="inlineStr">
        <is>
          <t>Door Vision Lite</t>
        </is>
      </c>
      <c r="C3" s="5" t="inlineStr">
        <is>
          <t>Not Shown</t>
        </is>
      </c>
      <c r="D3" s="5" t="inlineStr">
        <is>
          <t>Moderate</t>
        </is>
      </c>
      <c r="E3" s="5" t="inlineStr">
        <is>
          <t>MA 780 CMR 2406.2</t>
        </is>
      </c>
      <c r="F3" s="5" t="inlineStr">
        <is>
          <t>Add manufacturer safety glazing label callouts.</t>
        </is>
      </c>
      <c r="G3" s="5" t="inlineStr">
        <is>
          <t>state=MA, glazing=true</t>
        </is>
      </c>
    </row>
    <row r="4" ht="24" customHeight="1">
      <c r="A4" s="6">
        <f>IF(B4&lt;&gt;"","M-103","")</f>
        <v/>
      </c>
      <c r="B4" s="7" t="inlineStr"/>
      <c r="C4" s="7" t="inlineStr"/>
      <c r="D4" s="7" t="inlineStr"/>
      <c r="E4" s="7" t="inlineStr"/>
      <c r="F4" s="7" t="inlineStr"/>
      <c r="G4" s="7" t="inlineStr"/>
    </row>
    <row r="5" ht="24" customHeight="1">
      <c r="A5" s="6">
        <f>IF(B5&lt;&gt;"","M-104","")</f>
        <v/>
      </c>
      <c r="B5" s="7" t="inlineStr"/>
      <c r="C5" s="7" t="inlineStr"/>
      <c r="D5" s="7" t="inlineStr"/>
      <c r="E5" s="7" t="inlineStr"/>
      <c r="F5" s="7" t="inlineStr"/>
      <c r="G5" s="7" t="inlineStr"/>
    </row>
    <row r="6" ht="24" customHeight="1">
      <c r="A6" s="6">
        <f>IF(B6&lt;&gt;"","M-105","")</f>
        <v/>
      </c>
      <c r="B6" s="7" t="inlineStr"/>
      <c r="C6" s="7" t="inlineStr"/>
      <c r="D6" s="7" t="inlineStr"/>
      <c r="E6" s="7" t="inlineStr"/>
      <c r="F6" s="7" t="inlineStr"/>
      <c r="G6" s="7" t="inlineStr"/>
    </row>
    <row r="7" ht="24" customHeight="1">
      <c r="A7" s="6">
        <f>IF(B7&lt;&gt;"","M-106","")</f>
        <v/>
      </c>
      <c r="B7" s="7" t="inlineStr"/>
      <c r="C7" s="7" t="inlineStr"/>
      <c r="D7" s="7" t="inlineStr"/>
      <c r="E7" s="7" t="inlineStr"/>
      <c r="F7" s="7" t="inlineStr"/>
      <c r="G7" s="7" t="inlineStr"/>
    </row>
    <row r="8" ht="24" customHeight="1">
      <c r="A8" s="6">
        <f>IF(B8&lt;&gt;"","M-107","")</f>
        <v/>
      </c>
      <c r="B8" s="7" t="inlineStr"/>
      <c r="C8" s="7" t="inlineStr"/>
      <c r="D8" s="7" t="inlineStr"/>
      <c r="E8" s="7" t="inlineStr"/>
      <c r="F8" s="7" t="inlineStr"/>
      <c r="G8" s="7" t="inlineStr"/>
    </row>
    <row r="9" ht="24" customHeight="1">
      <c r="A9" s="6">
        <f>IF(B9&lt;&gt;"","M-108","")</f>
        <v/>
      </c>
      <c r="B9" s="7" t="inlineStr"/>
      <c r="C9" s="7" t="inlineStr"/>
      <c r="D9" s="7" t="inlineStr"/>
      <c r="E9" s="7" t="inlineStr"/>
      <c r="F9" s="7" t="inlineStr"/>
      <c r="G9" s="7" t="inlineStr"/>
    </row>
    <row r="10" ht="24" customHeight="1">
      <c r="A10" s="6">
        <f>IF(B10&lt;&gt;"","M-109","")</f>
        <v/>
      </c>
      <c r="B10" s="7" t="inlineStr"/>
      <c r="C10" s="7" t="inlineStr"/>
      <c r="D10" s="7" t="inlineStr"/>
      <c r="E10" s="7" t="inlineStr"/>
      <c r="F10" s="7" t="inlineStr"/>
      <c r="G10" s="7" t="inlineStr"/>
    </row>
    <row r="11" ht="24" customHeight="1">
      <c r="A11" s="6">
        <f>IF(B11&lt;&gt;"","M-110","")</f>
        <v/>
      </c>
      <c r="B11" s="7" t="inlineStr"/>
      <c r="C11" s="7" t="inlineStr"/>
      <c r="D11" s="7" t="inlineStr"/>
      <c r="E11" s="7" t="inlineStr"/>
      <c r="F11" s="7" t="inlineStr"/>
      <c r="G11" s="7" t="inlineStr"/>
    </row>
    <row r="12" ht="24" customHeight="1">
      <c r="A12" s="6">
        <f>IF(B12&lt;&gt;"","M-111","")</f>
        <v/>
      </c>
      <c r="B12" s="7" t="inlineStr"/>
      <c r="C12" s="7" t="inlineStr"/>
      <c r="D12" s="7" t="inlineStr"/>
      <c r="E12" s="7" t="inlineStr"/>
      <c r="F12" s="7" t="inlineStr"/>
      <c r="G12" s="7" t="inlineStr"/>
    </row>
    <row r="13" ht="24" customHeight="1">
      <c r="A13" s="6">
        <f>IF(B13&lt;&gt;"","M-112","")</f>
        <v/>
      </c>
      <c r="B13" s="7" t="inlineStr"/>
      <c r="C13" s="7" t="inlineStr"/>
      <c r="D13" s="7" t="inlineStr"/>
      <c r="E13" s="7" t="inlineStr"/>
      <c r="F13" s="7" t="inlineStr"/>
      <c r="G13" s="7" t="inlineStr"/>
    </row>
    <row r="14" ht="24" customHeight="1">
      <c r="A14" s="6">
        <f>IF(B14&lt;&gt;"","M-113","")</f>
        <v/>
      </c>
      <c r="B14" s="7" t="inlineStr"/>
      <c r="C14" s="7" t="inlineStr"/>
      <c r="D14" s="7" t="inlineStr"/>
      <c r="E14" s="7" t="inlineStr"/>
      <c r="F14" s="7" t="inlineStr"/>
      <c r="G14" s="7" t="inlineStr"/>
    </row>
    <row r="15" ht="24" customHeight="1">
      <c r="A15" s="6">
        <f>IF(B15&lt;&gt;"","M-114","")</f>
        <v/>
      </c>
      <c r="B15" s="7" t="inlineStr"/>
      <c r="C15" s="7" t="inlineStr"/>
      <c r="D15" s="7" t="inlineStr"/>
      <c r="E15" s="7" t="inlineStr"/>
      <c r="F15" s="7" t="inlineStr"/>
      <c r="G15" s="7" t="inlineStr"/>
    </row>
    <row r="16" ht="24" customHeight="1">
      <c r="A16" s="6">
        <f>IF(B16&lt;&gt;"","M-115","")</f>
        <v/>
      </c>
      <c r="B16" s="7" t="inlineStr"/>
      <c r="C16" s="7" t="inlineStr"/>
      <c r="D16" s="7" t="inlineStr"/>
      <c r="E16" s="7" t="inlineStr"/>
      <c r="F16" s="7" t="inlineStr"/>
      <c r="G16" s="7" t="inlineStr"/>
    </row>
    <row r="17" ht="24" customHeight="1">
      <c r="A17" s="6">
        <f>IF(B17&lt;&gt;"","M-116","")</f>
        <v/>
      </c>
      <c r="B17" s="7" t="inlineStr"/>
      <c r="C17" s="7" t="inlineStr"/>
      <c r="D17" s="7" t="inlineStr"/>
      <c r="E17" s="7" t="inlineStr"/>
      <c r="F17" s="7" t="inlineStr"/>
      <c r="G17" s="7" t="inlineStr"/>
    </row>
    <row r="18" ht="24" customHeight="1">
      <c r="A18" s="6">
        <f>IF(B18&lt;&gt;"","M-117","")</f>
        <v/>
      </c>
      <c r="B18" s="7" t="inlineStr"/>
      <c r="C18" s="7" t="inlineStr"/>
      <c r="D18" s="7" t="inlineStr"/>
      <c r="E18" s="7" t="inlineStr"/>
      <c r="F18" s="7" t="inlineStr"/>
      <c r="G18" s="7" t="inlineStr"/>
    </row>
    <row r="19" ht="24" customHeight="1">
      <c r="A19" s="6">
        <f>IF(B19&lt;&gt;"","M-118","")</f>
        <v/>
      </c>
      <c r="B19" s="7" t="inlineStr"/>
      <c r="C19" s="7" t="inlineStr"/>
      <c r="D19" s="7" t="inlineStr"/>
      <c r="E19" s="7" t="inlineStr"/>
      <c r="F19" s="7" t="inlineStr"/>
      <c r="G19" s="7" t="inlineStr"/>
    </row>
    <row r="20" ht="24" customHeight="1">
      <c r="A20" s="6">
        <f>IF(B20&lt;&gt;"","M-119","")</f>
        <v/>
      </c>
      <c r="B20" s="7" t="inlineStr"/>
      <c r="C20" s="7" t="inlineStr"/>
      <c r="D20" s="7" t="inlineStr"/>
      <c r="E20" s="7" t="inlineStr"/>
      <c r="F20" s="7" t="inlineStr"/>
      <c r="G20" s="7" t="inlineStr"/>
    </row>
    <row r="21" ht="24" customHeight="1">
      <c r="A21" s="6">
        <f>IF(B21&lt;&gt;"","M-120","")</f>
        <v/>
      </c>
      <c r="B21" s="7" t="inlineStr"/>
      <c r="C21" s="7" t="inlineStr"/>
      <c r="D21" s="7" t="inlineStr"/>
      <c r="E21" s="7" t="inlineStr"/>
      <c r="F21" s="7" t="inlineStr"/>
      <c r="G21" s="7" t="inlineStr"/>
    </row>
    <row r="22" ht="24" customHeight="1">
      <c r="A22" s="6">
        <f>IF(B22&lt;&gt;"","M-121","")</f>
        <v/>
      </c>
      <c r="B22" s="7" t="inlineStr"/>
      <c r="C22" s="7" t="inlineStr"/>
      <c r="D22" s="7" t="inlineStr"/>
      <c r="E22" s="7" t="inlineStr"/>
      <c r="F22" s="7" t="inlineStr"/>
      <c r="G22" s="7" t="inlineStr"/>
    </row>
    <row r="23" ht="24" customHeight="1">
      <c r="A23" s="6">
        <f>IF(B23&lt;&gt;"","M-122","")</f>
        <v/>
      </c>
      <c r="B23" s="7" t="inlineStr"/>
      <c r="C23" s="7" t="inlineStr"/>
      <c r="D23" s="7" t="inlineStr"/>
      <c r="E23" s="7" t="inlineStr"/>
      <c r="F23" s="7" t="inlineStr"/>
      <c r="G23" s="7" t="inlineStr"/>
    </row>
    <row r="24" ht="24" customHeight="1"/>
  </sheetData>
  <dataValidations count="2">
    <dataValidation sqref="D2:D24" showDropDown="0" showInputMessage="0" showErrorMessage="0" allowBlank="1" errorTitle="Invalid Severity" error="Pick a severity level" promptTitle="Severity" prompt="Select severity" type="list">
      <formula1>"Critical,Warning,Advisory,Info"</formula1>
    </dataValidation>
    <dataValidation sqref="G2:G24" showDropDown="0" showInputMessage="0" showErrorMessage="0" allowBlank="1" errorTitle="Trigger" error="Pick a trigger or type your own" promptTitle="When To Apply" prompt="Select when this rule applies" type="list">
      <formula1>"egress=true,ada_required=true,fire_rated=true,auto_operator=true,access_control=true,panic_required=true,vestibule=true,location=exterior,location=interior,state=MA,glazing=true"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Vendor</t>
        </is>
      </c>
      <c r="B1" s="13" t="inlineStr">
        <is>
          <t>Model</t>
        </is>
      </c>
      <c r="C1" s="13" t="inlineStr">
        <is>
          <t>Series</t>
        </is>
      </c>
      <c r="D1" s="13" t="inlineStr">
        <is>
          <t>Stile Width</t>
        </is>
      </c>
      <c r="E1" s="13" t="inlineStr">
        <is>
          <t>Depth</t>
        </is>
      </c>
    </row>
    <row r="2">
      <c r="A2" s="14" t="inlineStr">
        <is>
          <t>Kawneer</t>
        </is>
      </c>
      <c r="B2" s="14" t="inlineStr">
        <is>
          <t>Insulpour</t>
        </is>
      </c>
      <c r="C2" s="14" t="inlineStr">
        <is>
          <t>250T</t>
        </is>
      </c>
      <c r="D2" s="14" t="inlineStr">
        <is>
          <t>2.5"</t>
        </is>
      </c>
      <c r="E2" s="14" t="inlineStr">
        <is>
          <t>2.25"</t>
        </is>
      </c>
    </row>
    <row r="3">
      <c r="A3" s="15" t="inlineStr">
        <is>
          <t>Kawneer</t>
        </is>
      </c>
      <c r="B3" s="15" t="inlineStr">
        <is>
          <t>Insulpour</t>
        </is>
      </c>
      <c r="C3" s="15" t="inlineStr">
        <is>
          <t>350T</t>
        </is>
      </c>
      <c r="D3" s="15" t="inlineStr">
        <is>
          <t>3.5"</t>
        </is>
      </c>
      <c r="E3" s="15" t="inlineStr">
        <is>
          <t>2.25"</t>
        </is>
      </c>
    </row>
    <row r="4">
      <c r="A4" s="14" t="inlineStr">
        <is>
          <t>Kawneer</t>
        </is>
      </c>
      <c r="B4" s="14" t="inlineStr">
        <is>
          <t>Insulpour</t>
        </is>
      </c>
      <c r="C4" s="14" t="inlineStr">
        <is>
          <t>500T</t>
        </is>
      </c>
      <c r="D4" s="14" t="inlineStr">
        <is>
          <t>5"</t>
        </is>
      </c>
      <c r="E4" s="14" t="inlineStr">
        <is>
          <t>2.25"</t>
        </is>
      </c>
    </row>
    <row r="5">
      <c r="A5" s="15" t="inlineStr">
        <is>
          <t>Kawneer</t>
        </is>
      </c>
      <c r="B5" s="15" t="inlineStr">
        <is>
          <t>Standard</t>
        </is>
      </c>
      <c r="C5" s="15" t="inlineStr">
        <is>
          <t>190.0</t>
        </is>
      </c>
      <c r="D5" s="15" t="inlineStr">
        <is>
          <t>2.125"</t>
        </is>
      </c>
      <c r="E5" s="15" t="inlineStr">
        <is>
          <t>1.75"</t>
        </is>
      </c>
    </row>
    <row r="6">
      <c r="A6" s="14" t="inlineStr">
        <is>
          <t>Kawneer</t>
        </is>
      </c>
      <c r="B6" s="14" t="inlineStr">
        <is>
          <t>Standard</t>
        </is>
      </c>
      <c r="C6" s="14" t="inlineStr">
        <is>
          <t>350.0</t>
        </is>
      </c>
      <c r="D6" s="14" t="inlineStr">
        <is>
          <t>3.5"</t>
        </is>
      </c>
      <c r="E6" s="14" t="inlineStr">
        <is>
          <t>1.75"</t>
        </is>
      </c>
    </row>
    <row r="7">
      <c r="A7" s="15" t="inlineStr">
        <is>
          <t>Kawneer</t>
        </is>
      </c>
      <c r="B7" s="15" t="inlineStr">
        <is>
          <t>Standard</t>
        </is>
      </c>
      <c r="C7" s="15" t="inlineStr">
        <is>
          <t>500.0</t>
        </is>
      </c>
      <c r="D7" s="15" t="inlineStr">
        <is>
          <t>5"</t>
        </is>
      </c>
      <c r="E7" s="15" t="inlineStr">
        <is>
          <t>1.75"</t>
        </is>
      </c>
    </row>
    <row r="8">
      <c r="A8" s="14" t="inlineStr">
        <is>
          <t>YKK</t>
        </is>
      </c>
      <c r="B8" s="14" t="inlineStr"/>
      <c r="C8" s="14" t="inlineStr">
        <is>
          <t>20D</t>
        </is>
      </c>
      <c r="D8" s="14" t="inlineStr">
        <is>
          <t>2.125"</t>
        </is>
      </c>
      <c r="E8" s="14" t="inlineStr"/>
    </row>
    <row r="9">
      <c r="A9" s="15" t="inlineStr">
        <is>
          <t>YKK</t>
        </is>
      </c>
      <c r="B9" s="15" t="inlineStr"/>
      <c r="C9" s="15" t="inlineStr">
        <is>
          <t>35D</t>
        </is>
      </c>
      <c r="D9" s="15" t="inlineStr">
        <is>
          <t>3.5"</t>
        </is>
      </c>
      <c r="E9" s="15" t="inlineStr"/>
    </row>
    <row r="10">
      <c r="A10" s="14" t="inlineStr">
        <is>
          <t>YKK</t>
        </is>
      </c>
      <c r="B10" s="14" t="inlineStr"/>
      <c r="C10" s="14" t="inlineStr">
        <is>
          <t>50D</t>
        </is>
      </c>
      <c r="D10" s="14" t="inlineStr">
        <is>
          <t>5"</t>
        </is>
      </c>
      <c r="E10" s="14" t="inlineStr"/>
    </row>
    <row r="11">
      <c r="A11" s="15" t="inlineStr">
        <is>
          <t>YKK</t>
        </is>
      </c>
      <c r="B11" s="15" t="inlineStr"/>
      <c r="C11" s="15" t="inlineStr">
        <is>
          <t>25T</t>
        </is>
      </c>
      <c r="D11" s="15" t="inlineStr">
        <is>
          <t>2.5"</t>
        </is>
      </c>
      <c r="E11" s="15" t="inlineStr">
        <is>
          <t>2"</t>
        </is>
      </c>
    </row>
    <row r="12">
      <c r="A12" s="14" t="inlineStr">
        <is>
          <t>YKK</t>
        </is>
      </c>
      <c r="B12" s="14" t="inlineStr"/>
      <c r="C12" s="14" t="inlineStr">
        <is>
          <t>35T</t>
        </is>
      </c>
      <c r="D12" s="14" t="inlineStr">
        <is>
          <t>3.5"</t>
        </is>
      </c>
      <c r="E12" s="14" t="inlineStr">
        <is>
          <t>2"</t>
        </is>
      </c>
    </row>
    <row r="13">
      <c r="A13" s="15" t="inlineStr">
        <is>
          <t>YKK</t>
        </is>
      </c>
      <c r="B13" s="15" t="inlineStr"/>
      <c r="C13" s="15" t="inlineStr">
        <is>
          <t>50T</t>
        </is>
      </c>
      <c r="D13" s="15" t="inlineStr">
        <is>
          <t>5"</t>
        </is>
      </c>
      <c r="E13" s="15" t="inlineStr">
        <is>
          <t>2"</t>
        </is>
      </c>
    </row>
    <row r="14">
      <c r="A14" s="14" t="inlineStr">
        <is>
          <t>CRL</t>
        </is>
      </c>
      <c r="B14" s="14" t="inlineStr"/>
      <c r="C14" s="14" t="inlineStr">
        <is>
          <t>250.0</t>
        </is>
      </c>
      <c r="D14" s="14" t="inlineStr"/>
      <c r="E14" s="14" t="inlineStr"/>
    </row>
    <row r="15">
      <c r="A15" s="15" t="inlineStr">
        <is>
          <t>CRL</t>
        </is>
      </c>
      <c r="B15" s="15" t="inlineStr"/>
      <c r="C15" s="15" t="inlineStr">
        <is>
          <t>400.0</t>
        </is>
      </c>
      <c r="D15" s="15" t="inlineStr"/>
      <c r="E15" s="15" t="inlineStr"/>
    </row>
    <row r="16">
      <c r="A16" s="14" t="inlineStr">
        <is>
          <t>CRL</t>
        </is>
      </c>
      <c r="B16" s="14" t="inlineStr"/>
      <c r="C16" s="14" t="inlineStr">
        <is>
          <t>550.0</t>
        </is>
      </c>
      <c r="D16" s="14" t="inlineStr"/>
      <c r="E16" s="14" t="inlineStr"/>
    </row>
    <row r="17">
      <c r="A17" s="15" t="inlineStr">
        <is>
          <t>CRL</t>
        </is>
      </c>
      <c r="B17" s="15" t="inlineStr"/>
      <c r="C17" s="15" t="inlineStr">
        <is>
          <t>250T</t>
        </is>
      </c>
      <c r="D17" s="15" t="inlineStr"/>
      <c r="E17" s="15" t="inlineStr"/>
    </row>
    <row r="18">
      <c r="A18" s="14" t="inlineStr">
        <is>
          <t>CRL</t>
        </is>
      </c>
      <c r="B18" s="14" t="inlineStr"/>
      <c r="C18" s="14" t="inlineStr">
        <is>
          <t>400T</t>
        </is>
      </c>
      <c r="D18" s="14" t="inlineStr"/>
      <c r="E18" s="14" t="inlineStr"/>
    </row>
    <row r="19">
      <c r="A19" s="15" t="inlineStr">
        <is>
          <t>CRL</t>
        </is>
      </c>
      <c r="B19" s="15" t="inlineStr"/>
      <c r="C19" s="15" t="inlineStr">
        <is>
          <t>550T</t>
        </is>
      </c>
      <c r="D19" s="15" t="inlineStr"/>
      <c r="E19" s="15" t="inlineStr"/>
    </row>
    <row r="20">
      <c r="A20" s="14" t="inlineStr">
        <is>
          <t>OldCastle</t>
        </is>
      </c>
      <c r="B20" s="14" t="inlineStr"/>
      <c r="C20" s="14" t="inlineStr">
        <is>
          <t>NS-212</t>
        </is>
      </c>
      <c r="D20" s="14" t="inlineStr"/>
      <c r="E20" s="14" t="inlineStr"/>
    </row>
    <row r="21">
      <c r="A21" s="15" t="inlineStr">
        <is>
          <t>OldCastle</t>
        </is>
      </c>
      <c r="B21" s="15" t="inlineStr"/>
      <c r="C21" s="15" t="inlineStr">
        <is>
          <t>MS-375</t>
        </is>
      </c>
      <c r="D21" s="15" t="inlineStr"/>
      <c r="E21" s="15" t="inlineStr"/>
    </row>
    <row r="22">
      <c r="A22" s="14" t="inlineStr">
        <is>
          <t>OldCastle</t>
        </is>
      </c>
      <c r="B22" s="14" t="inlineStr"/>
      <c r="C22" s="14" t="inlineStr">
        <is>
          <t>WS-500</t>
        </is>
      </c>
      <c r="D22" s="14" t="inlineStr"/>
      <c r="E22" s="14" t="inlineStr"/>
    </row>
    <row r="23">
      <c r="A23" s="15" t="inlineStr">
        <is>
          <t>OldCastle</t>
        </is>
      </c>
      <c r="B23" s="15" t="inlineStr"/>
      <c r="C23" s="15" t="inlineStr">
        <is>
          <t>MS-375TC</t>
        </is>
      </c>
      <c r="D23" s="15" t="inlineStr"/>
      <c r="E23" s="15" t="inlineStr"/>
    </row>
    <row r="24">
      <c r="A24" s="14" t="inlineStr">
        <is>
          <t>OldCastle</t>
        </is>
      </c>
      <c r="B24" s="14" t="inlineStr"/>
      <c r="C24" s="14" t="inlineStr">
        <is>
          <t>WS-500TC</t>
        </is>
      </c>
      <c r="D24" s="14" t="inlineStr"/>
      <c r="E24" s="14" t="inlineStr"/>
    </row>
    <row r="25">
      <c r="A25" s="15" t="inlineStr">
        <is>
          <t>Tubelite</t>
        </is>
      </c>
      <c r="B25" s="15" t="inlineStr">
        <is>
          <t>Standard</t>
        </is>
      </c>
      <c r="C25" s="15" t="inlineStr">
        <is>
          <t>Narrow</t>
        </is>
      </c>
      <c r="D25" s="15" t="inlineStr">
        <is>
          <t>2.125"</t>
        </is>
      </c>
      <c r="E25" s="15" t="inlineStr"/>
    </row>
    <row r="26">
      <c r="A26" s="14" t="inlineStr">
        <is>
          <t>Tubelite</t>
        </is>
      </c>
      <c r="B26" s="14" t="inlineStr">
        <is>
          <t>Standard</t>
        </is>
      </c>
      <c r="C26" s="14" t="inlineStr">
        <is>
          <t>Medium</t>
        </is>
      </c>
      <c r="D26" s="14" t="inlineStr">
        <is>
          <t>4"</t>
        </is>
      </c>
      <c r="E26" s="14" t="inlineStr"/>
    </row>
    <row r="27">
      <c r="A27" s="15" t="inlineStr">
        <is>
          <t>Tubelite</t>
        </is>
      </c>
      <c r="B27" s="15" t="inlineStr">
        <is>
          <t>Standard</t>
        </is>
      </c>
      <c r="C27" s="15" t="inlineStr">
        <is>
          <t>Wide</t>
        </is>
      </c>
      <c r="D27" s="15" t="inlineStr">
        <is>
          <t>5"</t>
        </is>
      </c>
      <c r="E27" s="15" t="inlineStr"/>
    </row>
    <row r="28">
      <c r="A28" s="14" t="inlineStr">
        <is>
          <t>Tubelite</t>
        </is>
      </c>
      <c r="B28" s="14" t="inlineStr">
        <is>
          <t>ThermalBlock</t>
        </is>
      </c>
      <c r="C28" s="14" t="inlineStr">
        <is>
          <t>Medium</t>
        </is>
      </c>
      <c r="D28" s="14" t="inlineStr">
        <is>
          <t>4"</t>
        </is>
      </c>
      <c r="E28" s="14" t="inlineStr"/>
    </row>
    <row r="29">
      <c r="A29" s="15" t="inlineStr">
        <is>
          <t>Tubelite</t>
        </is>
      </c>
      <c r="B29" s="15" t="inlineStr">
        <is>
          <t>ThermalBlock</t>
        </is>
      </c>
      <c r="C29" s="15" t="inlineStr">
        <is>
          <t>Wide</t>
        </is>
      </c>
      <c r="D29" s="15" t="inlineStr">
        <is>
          <t>5"</t>
        </is>
      </c>
      <c r="E29" s="15" t="inlineStr"/>
    </row>
    <row r="30">
      <c r="A30" s="14" t="inlineStr">
        <is>
          <t>FHC</t>
        </is>
      </c>
      <c r="B30" s="14" t="inlineStr"/>
      <c r="C30" s="14" t="inlineStr"/>
      <c r="D30" s="14" t="inlineStr"/>
      <c r="E30" s="14" t="inlineStr"/>
    </row>
    <row r="31">
      <c r="A31" s="16" t="inlineStr"/>
      <c r="B31" s="16" t="inlineStr"/>
      <c r="C31" s="16" t="inlineStr"/>
      <c r="D31" s="16" t="inlineStr"/>
      <c r="E31" s="16" t="inlineStr"/>
    </row>
    <row r="32">
      <c r="A32" s="16" t="inlineStr"/>
      <c r="B32" s="16" t="inlineStr"/>
      <c r="C32" s="16" t="inlineStr"/>
      <c r="D32" s="16" t="inlineStr"/>
      <c r="E32" s="16" t="inlineStr"/>
    </row>
    <row r="33">
      <c r="A33" s="16" t="inlineStr"/>
      <c r="B33" s="16" t="inlineStr"/>
      <c r="C33" s="16" t="inlineStr"/>
      <c r="D33" s="16" t="inlineStr"/>
      <c r="E33" s="16" t="inlineStr"/>
    </row>
    <row r="34">
      <c r="A34" s="16" t="inlineStr"/>
      <c r="B34" s="16" t="inlineStr"/>
      <c r="C34" s="16" t="inlineStr"/>
      <c r="D34" s="16" t="inlineStr"/>
      <c r="E34" s="16" t="inlineStr"/>
    </row>
    <row r="35">
      <c r="A35" s="16" t="inlineStr"/>
      <c r="B35" s="16" t="inlineStr"/>
      <c r="C35" s="16" t="inlineStr"/>
      <c r="D35" s="16" t="inlineStr"/>
      <c r="E35" s="16" t="inlineStr"/>
    </row>
    <row r="36">
      <c r="A36" s="16" t="inlineStr"/>
      <c r="B36" s="16" t="inlineStr"/>
      <c r="C36" s="16" t="inlineStr"/>
      <c r="D36" s="16" t="inlineStr"/>
      <c r="E36" s="16" t="inlineStr"/>
    </row>
    <row r="37">
      <c r="A37" s="16" t="inlineStr"/>
      <c r="B37" s="16" t="inlineStr"/>
      <c r="C37" s="16" t="inlineStr"/>
      <c r="D37" s="16" t="inlineStr"/>
      <c r="E37" s="16" t="inlineStr"/>
    </row>
    <row r="38">
      <c r="A38" s="16" t="inlineStr"/>
      <c r="B38" s="16" t="inlineStr"/>
      <c r="C38" s="16" t="inlineStr"/>
      <c r="D38" s="16" t="inlineStr"/>
      <c r="E38" s="16" t="inlineStr"/>
    </row>
    <row r="39">
      <c r="A39" s="16" t="inlineStr"/>
      <c r="B39" s="16" t="inlineStr"/>
      <c r="C39" s="16" t="inlineStr"/>
      <c r="D39" s="16" t="inlineStr"/>
      <c r="E39" s="16" t="inlineStr"/>
    </row>
    <row r="40">
      <c r="A40" s="16" t="inlineStr"/>
      <c r="B40" s="16" t="inlineStr"/>
      <c r="C40" s="16" t="inlineStr"/>
      <c r="D40" s="16" t="inlineStr"/>
      <c r="E40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2026-02-23T11:01:58Z</dcterms:created>
  <dcterms:modified xmlns:dcterms="http://purl.org/dc/terms/" xmlns:xsi="http://www.w3.org/2001/XMLSchema-instance" xsi:type="dcterms:W3CDTF">2026-02-23T11:01:58Z</dcterms:modified>
</cp:coreProperties>
</file>